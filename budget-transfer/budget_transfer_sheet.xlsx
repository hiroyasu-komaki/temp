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算シート" sheetId="1" state="visible" r:id="rId1"/>
    <sheet xmlns:r="http://schemas.openxmlformats.org/officeDocument/2006/relationships" name="紐付け" sheetId="2" state="visible" r:id="rId2"/>
    <sheet xmlns:r="http://schemas.openxmlformats.org/officeDocument/2006/relationships" name="システム" sheetId="3" state="visible" r:id="rId3"/>
    <sheet xmlns:r="http://schemas.openxmlformats.org/officeDocument/2006/relationships" name="業務" sheetId="4" state="visible" r:id="rId4"/>
    <sheet xmlns:r="http://schemas.openxmlformats.org/officeDocument/2006/relationships" name="契約" sheetId="5" state="visible" r:id="rId5"/>
    <sheet xmlns:r="http://schemas.openxmlformats.org/officeDocument/2006/relationships" name="判定表" sheetId="6" state="visible" r:id="rId6"/>
    <sheet xmlns:r="http://schemas.openxmlformats.org/officeDocument/2006/relationships" name="選択肢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  <sz val="10"/>
    </font>
    <font>
      <b val="1"/>
      <color rgb="00FFFFFF"/>
      <sz val="9"/>
    </font>
    <font>
      <i val="1"/>
      <color rgb="00777777"/>
      <sz val="10"/>
    </font>
    <font>
      <b val="1"/>
      <sz val="11"/>
    </font>
    <font>
      <sz val="10"/>
    </font>
  </fonts>
  <fills count="17">
    <fill>
      <patternFill/>
    </fill>
    <fill>
      <patternFill patternType="gray125"/>
    </fill>
    <fill>
      <patternFill patternType="solid">
        <fgColor rgb="00EAEFEE"/>
      </patternFill>
    </fill>
    <fill>
      <patternFill patternType="solid">
        <fgColor rgb="005A6B70"/>
      </patternFill>
    </fill>
    <fill>
      <patternFill patternType="solid">
        <fgColor rgb="007A8A8F"/>
      </patternFill>
    </fill>
    <fill>
      <patternFill patternType="solid">
        <fgColor rgb="001D6788"/>
      </patternFill>
    </fill>
    <fill>
      <patternFill patternType="solid">
        <fgColor rgb="003B7A4B"/>
      </patternFill>
    </fill>
    <fill>
      <patternFill patternType="solid">
        <fgColor rgb="009C5F17"/>
      </patternFill>
    </fill>
    <fill>
      <patternFill patternType="solid">
        <fgColor rgb="00FBF7EA"/>
      </patternFill>
    </fill>
    <fill>
      <patternFill patternType="solid">
        <fgColor rgb="00F2F2F2"/>
      </patternFill>
    </fill>
    <fill>
      <patternFill patternType="solid">
        <fgColor rgb="00DFEDF3"/>
      </patternFill>
    </fill>
    <fill>
      <patternFill patternType="solid">
        <fgColor rgb="00FBF0D6"/>
      </patternFill>
    </fill>
    <fill>
      <patternFill patternType="solid">
        <fgColor rgb="00E2F0E5"/>
      </patternFill>
    </fill>
    <fill>
      <patternFill patternType="solid">
        <fgColor rgb="00D9D9D9"/>
      </patternFill>
    </fill>
    <fill>
      <patternFill patternType="solid">
        <fgColor rgb="00EDE7F3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8" borderId="1" pivotButton="0" quotePrefix="0" xfId="0"/>
    <xf numFmtId="3" fontId="5" fillId="8" borderId="1" pivotButton="0" quotePrefix="0" xfId="0"/>
    <xf numFmtId="3" fontId="5" fillId="9" borderId="1" pivotButton="0" quotePrefix="0" xfId="0"/>
    <xf numFmtId="1" fontId="5" fillId="8" borderId="1" pivotButton="0" quotePrefix="0" xfId="0"/>
    <xf numFmtId="164" fontId="5" fillId="8" borderId="1" pivotButton="0" quotePrefix="0" xfId="0"/>
    <xf numFmtId="0" fontId="5" fillId="9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9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0" fillId="9" borderId="1" pivotButton="0" quotePrefix="0" xfId="0"/>
    <xf numFmtId="164" fontId="5" fillId="9" borderId="1" pivotButton="0" quotePrefix="0" xfId="0"/>
    <xf numFmtId="164" fontId="0" fillId="9" borderId="1" pivotButton="0" quotePrefix="0" xfId="0"/>
    <xf numFmtId="165" fontId="5" fillId="8" borderId="1" pivotButton="0" quotePrefix="0" xfId="0"/>
    <xf numFmtId="165" fontId="0" fillId="0" borderId="1" pivotButton="0" quotePrefix="0" xfId="0"/>
    <xf numFmtId="0" fontId="3" fillId="2" borderId="0" pivotButton="0" quotePrefix="0" xfId="0"/>
    <xf numFmtId="164" fontId="5" fillId="8" borderId="1" pivotButton="0" quotePrefix="0" xfId="0"/>
    <xf numFmtId="164" fontId="0" fillId="0" borderId="1" pivotButton="0" quotePrefix="0" xfId="0"/>
    <xf numFmtId="0" fontId="3" fillId="12" borderId="1" applyAlignment="1" pivotButton="0" quotePrefix="0" xfId="0">
      <alignment horizontal="center" vertical="center" wrapText="1"/>
    </xf>
    <xf numFmtId="0" fontId="3" fillId="10" borderId="1" pivotButton="0" quotePrefix="0" xfId="0"/>
    <xf numFmtId="0" fontId="3" fillId="11" borderId="1" pivotButton="0" quotePrefix="0" xfId="0"/>
    <xf numFmtId="0" fontId="3" fillId="12" borderId="1" pivotButton="0" quotePrefix="0" xfId="0"/>
    <xf numFmtId="0" fontId="0" fillId="9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164" fontId="5" fillId="9" borderId="1" pivotButton="0" quotePrefix="0" xfId="0"/>
    <xf numFmtId="164" fontId="0" fillId="9" borderId="1" pivotButton="0" quotePrefix="0" xfId="0"/>
    <xf numFmtId="165" fontId="5" fillId="8" borderId="1" pivotButton="0" quotePrefix="0" xfId="0"/>
    <xf numFmtId="165" fontId="0" fillId="0" borderId="1" pivotButton="0" quotePrefix="0" xfId="0"/>
    <xf numFmtId="1" fontId="5" fillId="9" borderId="1" pivotButton="0" quotePrefix="0" xfId="0"/>
    <xf numFmtId="1" fontId="0" fillId="9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12" borderId="1" pivotButton="0" quotePrefix="0" xfId="0"/>
    <xf numFmtId="0" fontId="0" fillId="9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vertical="center"/>
    </xf>
    <xf numFmtId="0" fontId="3" fillId="14" borderId="1" pivotButton="0" quotePrefix="0" xfId="0"/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3" fillId="16" borderId="1" pivotButton="0" quotePrefix="0" xfId="0"/>
    <xf numFmtId="0" fontId="0" fillId="16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FCE4D6"/>
        </patternFill>
      </fill>
    </dxf>
    <dxf>
      <font>
        <b val="1"/>
      </font>
      <fill>
        <patternFill patternType="solid">
          <fgColor rgb="00DDEBF7"/>
        </patternFill>
      </fill>
    </dxf>
    <dxf>
      <font>
        <color rgb="009C0006"/>
      </font>
    </dxf>
    <dxf>
      <font>
        <b val="1"/>
        <color rgb="009C0006"/>
      </font>
      <fill>
        <patternFill patternType="solid">
          <fgColor rgb="00FCE4D6"/>
        </patternFill>
      </fill>
    </dxf>
    <dxf>
      <fill>
        <patternFill patternType="solid">
          <fgColor rgb="00E2F0E5"/>
        </patternFill>
      </fill>
    </dxf>
    <dxf>
      <fill>
        <patternFill patternType="solid">
          <fgColor rgb="00FBF0D6"/>
        </patternFill>
      </fill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2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3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3" customWidth="1" min="32" max="32"/>
    <col width="15" customWidth="1" min="33" max="33"/>
    <col width="13" customWidth="1" min="34" max="34"/>
    <col width="13" customWidth="1" min="35" max="35"/>
    <col width="13" customWidth="1" min="36" max="36"/>
    <col width="30" customWidth="1" min="37" max="37"/>
    <col width="13" customWidth="1" min="38" max="38"/>
    <col width="13" customWidth="1" min="39" max="39"/>
    <col width="13" customWidth="1" min="40" max="40"/>
    <col hidden="1" width="9" customWidth="1" min="41" max="41"/>
    <col hidden="1" width="9" customWidth="1" min="42" max="42"/>
    <col hidden="1" width="9" customWidth="1" min="43" max="43"/>
    <col hidden="1" width="9" customWidth="1" min="44" max="44"/>
    <col hidden="1" width="9" customWidth="1" min="45" max="45"/>
    <col hidden="1" width="9" customWidth="1" min="46" max="46"/>
    <col hidden="1" width="9" customWidth="1" min="47" max="47"/>
    <col hidden="1" width="9" customWidth="1" min="48" max="48"/>
    <col hidden="1" width="9" customWidth="1" min="49" max="49"/>
    <col hidden="1" width="9" customWidth="1" min="50" max="50"/>
    <col hidden="1" width="9" customWidth="1" min="51" max="51"/>
  </cols>
  <sheetData>
    <row r="1">
      <c r="A1" s="1" t="inlineStr">
        <is>
          <t>IT予算移管シート</t>
        </is>
      </c>
    </row>
    <row r="2">
      <c r="A2" s="4" t="inlineStr">
        <is>
          <t>既存の予算シートに、移管の協議に必要な列を追加したもの。色帯は記入者。案件とシステムの対応は「紐付け」シートに書く。移管判定（AL〜AN）は業務→契約→予算の順に自動で決まり、値は他のシートと同じ（移管／一部／留保／対象外／判定保留）。薄い色の3行は記入例なので、使うときは削除する。</t>
        </is>
      </c>
    </row>
    <row r="3">
      <c r="A3" s="5" t="inlineStr">
        <is>
          <t>基本</t>
        </is>
      </c>
      <c r="G3" s="6" t="inlineStr">
        <is>
          <t>今年度実績（見込み含む）</t>
        </is>
      </c>
      <c r="T3" s="6" t="inlineStr">
        <is>
          <t>来年度予算</t>
        </is>
      </c>
      <c r="AG3" t="inlineStr">
        <is>
          <t>IT部門が記入</t>
        </is>
      </c>
      <c r="AH3" s="8" t="inlineStr">
        <is>
          <t>協議前（現場部門が記入）</t>
        </is>
      </c>
      <c r="AL3" s="9" t="inlineStr">
        <is>
          <t>移管判定（自動）</t>
        </is>
      </c>
    </row>
    <row r="4" ht="34" customHeight="1">
      <c r="A4" s="10" t="inlineStr">
        <is>
          <t>案件ID</t>
        </is>
      </c>
      <c r="B4" s="10" t="inlineStr">
        <is>
          <t>案件名</t>
        </is>
      </c>
      <c r="C4" s="10" t="inlineStr">
        <is>
          <t>案件概要</t>
        </is>
      </c>
      <c r="D4" s="10" t="inlineStr">
        <is>
          <t>担当者</t>
        </is>
      </c>
      <c r="E4" s="10" t="inlineStr">
        <is>
          <t>コストセンター</t>
        </is>
      </c>
      <c r="F4" s="10" t="inlineStr">
        <is>
          <t>勘定科目</t>
        </is>
      </c>
      <c r="G4" s="10" t="inlineStr">
        <is>
          <t>4月</t>
        </is>
      </c>
      <c r="H4" s="10" t="inlineStr">
        <is>
          <t>5月</t>
        </is>
      </c>
      <c r="I4" s="10" t="inlineStr">
        <is>
          <t>6月</t>
        </is>
      </c>
      <c r="J4" s="10" t="inlineStr">
        <is>
          <t>7月</t>
        </is>
      </c>
      <c r="K4" s="10" t="inlineStr">
        <is>
          <t>8月</t>
        </is>
      </c>
      <c r="L4" s="10" t="inlineStr">
        <is>
          <t>9月</t>
        </is>
      </c>
      <c r="M4" s="10" t="inlineStr">
        <is>
          <t>10月</t>
        </is>
      </c>
      <c r="N4" s="10" t="inlineStr">
        <is>
          <t>11月</t>
        </is>
      </c>
      <c r="O4" s="10" t="inlineStr">
        <is>
          <t>12月</t>
        </is>
      </c>
      <c r="P4" s="10" t="inlineStr">
        <is>
          <t>1月</t>
        </is>
      </c>
      <c r="Q4" s="10" t="inlineStr">
        <is>
          <t>2月</t>
        </is>
      </c>
      <c r="R4" s="10" t="inlineStr">
        <is>
          <t>3月</t>
        </is>
      </c>
      <c r="S4" s="10" t="inlineStr">
        <is>
          <t>年額</t>
        </is>
      </c>
      <c r="T4" s="10" t="inlineStr">
        <is>
          <t>4月</t>
        </is>
      </c>
      <c r="U4" s="10" t="inlineStr">
        <is>
          <t>5月</t>
        </is>
      </c>
      <c r="V4" s="10" t="inlineStr">
        <is>
          <t>6月</t>
        </is>
      </c>
      <c r="W4" s="10" t="inlineStr">
        <is>
          <t>7月</t>
        </is>
      </c>
      <c r="X4" s="10" t="inlineStr">
        <is>
          <t>8月</t>
        </is>
      </c>
      <c r="Y4" s="10" t="inlineStr">
        <is>
          <t>9月</t>
        </is>
      </c>
      <c r="Z4" s="10" t="inlineStr">
        <is>
          <t>10月</t>
        </is>
      </c>
      <c r="AA4" s="10" t="inlineStr">
        <is>
          <t>11月</t>
        </is>
      </c>
      <c r="AB4" s="10" t="inlineStr">
        <is>
          <t>12月</t>
        </is>
      </c>
      <c r="AC4" s="10" t="inlineStr">
        <is>
          <t>1月</t>
        </is>
      </c>
      <c r="AD4" s="10" t="inlineStr">
        <is>
          <t>2月</t>
        </is>
      </c>
      <c r="AE4" s="10" t="inlineStr">
        <is>
          <t>3月</t>
        </is>
      </c>
      <c r="AF4" s="10" t="inlineStr">
        <is>
          <t>年額</t>
        </is>
      </c>
      <c r="AG4" s="10" t="inlineStr">
        <is>
          <t>費用の性質</t>
        </is>
      </c>
      <c r="AH4" s="10" t="inlineStr">
        <is>
          <t>予算（申告）</t>
        </is>
      </c>
      <c r="AI4" s="10" t="inlineStr">
        <is>
          <t>契約（申告）</t>
        </is>
      </c>
      <c r="AJ4" s="10" t="inlineStr">
        <is>
          <t>業務（申告）</t>
        </is>
      </c>
      <c r="AK4" s="10" t="inlineStr">
        <is>
          <t>現場のコメント（理由・条件）</t>
        </is>
      </c>
      <c r="AL4" s="10" t="inlineStr">
        <is>
          <t>予算（自動）</t>
        </is>
      </c>
      <c r="AM4" s="10" t="inlineStr">
        <is>
          <t>契約（自動）</t>
        </is>
      </c>
      <c r="AN4" s="10" t="inlineStr">
        <is>
          <t>業務（自動）</t>
        </is>
      </c>
      <c r="AO4" s="10" t="inlineStr">
        <is>
          <t>業務数</t>
        </is>
      </c>
      <c r="AP4" s="10" t="inlineStr">
        <is>
          <t>業務 移管</t>
        </is>
      </c>
      <c r="AQ4" s="10" t="inlineStr">
        <is>
          <t>業務 留保</t>
        </is>
      </c>
      <c r="AR4" s="10" t="inlineStr">
        <is>
          <t>業務 判定保留</t>
        </is>
      </c>
      <c r="AS4" s="10" t="inlineStr">
        <is>
          <t>業務なしシステム 留保</t>
        </is>
      </c>
      <c r="AT4" s="10" t="inlineStr">
        <is>
          <t>業務なしシステム その他</t>
        </is>
      </c>
      <c r="AU4" s="10" t="inlineStr">
        <is>
          <t>契約数</t>
        </is>
      </c>
      <c r="AV4" s="10" t="inlineStr">
        <is>
          <t>契約 移管</t>
        </is>
      </c>
      <c r="AW4" s="10" t="inlineStr">
        <is>
          <t>契約 一部</t>
        </is>
      </c>
      <c r="AX4" s="10" t="inlineStr">
        <is>
          <t>契約 判定保留</t>
        </is>
      </c>
      <c r="AY4" s="10" t="inlineStr">
        <is>
          <t>契約 留保</t>
        </is>
      </c>
    </row>
    <row r="5">
      <c r="A5" s="11" t="inlineStr">
        <is>
          <t>BUD-001</t>
        </is>
      </c>
      <c r="B5" s="11" t="inlineStr">
        <is>
          <t>クラウド基盤の利用料（研究本部）</t>
        </is>
      </c>
      <c r="C5" s="11" t="inlineStr">
        <is>
          <t>研究本部が利用しているクラウド環境の利用料と運用委託</t>
        </is>
      </c>
      <c r="D5" s="11" t="inlineStr">
        <is>
          <t>山田</t>
        </is>
      </c>
      <c r="E5" s="11" t="inlineStr">
        <is>
          <t>CC-4100</t>
        </is>
      </c>
      <c r="F5" s="11" t="inlineStr">
        <is>
          <t>支払手数料</t>
        </is>
      </c>
      <c r="G5" s="12" t="n">
        <v>1200000</v>
      </c>
      <c r="H5" s="12" t="n">
        <v>1200000</v>
      </c>
      <c r="I5" s="12" t="n">
        <v>1200000</v>
      </c>
      <c r="J5" s="12" t="n">
        <v>1200000</v>
      </c>
      <c r="K5" s="12" t="n">
        <v>1200000</v>
      </c>
      <c r="L5" s="12" t="n">
        <v>1200000</v>
      </c>
      <c r="M5" s="12" t="n">
        <v>1200000</v>
      </c>
      <c r="N5" s="12" t="n">
        <v>1200000</v>
      </c>
      <c r="O5" s="12" t="n">
        <v>1200000</v>
      </c>
      <c r="P5" s="12" t="n">
        <v>1200000</v>
      </c>
      <c r="Q5" s="12" t="n">
        <v>1200000</v>
      </c>
      <c r="R5" s="12" t="n">
        <v>1200000</v>
      </c>
      <c r="S5" s="13">
        <f>IF(COUNT(G5:R5)=0,"",SUM(G5:R5))</f>
        <v/>
      </c>
      <c r="T5" s="12" t="n">
        <v>1250000</v>
      </c>
      <c r="U5" s="12" t="n">
        <v>1250000</v>
      </c>
      <c r="V5" s="12" t="n">
        <v>1250000</v>
      </c>
      <c r="W5" s="12" t="n">
        <v>1250000</v>
      </c>
      <c r="X5" s="12" t="n">
        <v>1250000</v>
      </c>
      <c r="Y5" s="12" t="n">
        <v>1250000</v>
      </c>
      <c r="Z5" s="12" t="n">
        <v>1250000</v>
      </c>
      <c r="AA5" s="12" t="n">
        <v>1250000</v>
      </c>
      <c r="AB5" s="12" t="n">
        <v>1250000</v>
      </c>
      <c r="AC5" s="12" t="n">
        <v>1250000</v>
      </c>
      <c r="AD5" s="12" t="n">
        <v>1250000</v>
      </c>
      <c r="AE5" s="12" t="n">
        <v>1250000</v>
      </c>
      <c r="AF5" s="13">
        <f>IF(COUNT(T5:AE5)=0,"",SUM(T5:AE5))</f>
        <v/>
      </c>
      <c r="AG5" s="11" t="inlineStr">
        <is>
          <t>変動費</t>
        </is>
      </c>
      <c r="AH5" s="11" t="inlineStr">
        <is>
          <t>移管</t>
        </is>
      </c>
      <c r="AI5" s="11" t="inlineStr">
        <is>
          <t>移管</t>
        </is>
      </c>
      <c r="AJ5" s="11" t="inlineStr">
        <is>
          <t>一部</t>
        </is>
      </c>
      <c r="AK5" s="11" t="inlineStr">
        <is>
          <t>基盤の運用は任せたい。構成変更への回答は今までどおり早くしてほしい</t>
        </is>
      </c>
      <c r="AL5" s="11">
        <f>IF($A5="","",IF(OR(AM5="移管",AN5="移管"),"移管",IF(OR(AM5="一部",AN5="一部"),"一部",IF(OR(AM5="判定保留",AN5="判定保留"),"判定保留",IF(OR(AM5="留保",AN5="留保"),"留保","対象外")))))</f>
        <v/>
      </c>
      <c r="AM5" s="11">
        <f>IF($A5="","",IF(AU5=0,"対象外",IF(AV5=AU5,"移管",IF(AV5+AW5&gt;0,"一部",IF(AX5&gt;0,"判定保留",IF(AY5&gt;0,"留保","対象外"))))))</f>
        <v/>
      </c>
      <c r="AN5" s="11">
        <f>IF($A5="","",IF((AO5+AS5+AT5)=0,"対象外",IF(AP5=(AO5+AS5+AT5),"移管",IF(AP5&gt;0,"一部",IF(AR5+AT5&gt;0,"判定保留",IF(AQ5+AS5&gt;0,"留保","対象外"))))))</f>
        <v/>
      </c>
      <c r="AO5" s="11">
        <f>IF($A5="","",SUMPRODUCT((COUNTIFS('紐付け'!$A$4:$A$200,$A5,'紐付け'!$C$4:$C$200,'業務'!$C$4:$C$200)&gt;0)*('業務'!$A$4:$A$200&lt;&gt;"")))</f>
        <v/>
      </c>
      <c r="AP5" s="11">
        <f>IF($A5="","",SUMPRODUCT((COUNTIFS('紐付け'!$A$4:$A$200,$A5,'紐付け'!$C$4:$C$200,'業務'!$C$4:$C$200)&gt;0)*('業務'!$A$4:$A$200&lt;&gt;"")*('業務'!$P$4:$P$200="移管")))</f>
        <v/>
      </c>
      <c r="AQ5" s="11">
        <f>IF($A5="","",SUMPRODUCT((COUNTIFS('紐付け'!$A$4:$A$200,$A5,'紐付け'!$C$4:$C$200,'業務'!$C$4:$C$200)&gt;0)*('業務'!$A$4:$A$200&lt;&gt;"")*('業務'!$P$4:$P$200="留保")))</f>
        <v/>
      </c>
      <c r="AR5" s="11">
        <f>IF($A5="","",AO5-AP5-AQ5)</f>
        <v/>
      </c>
      <c r="AS5" s="11">
        <f>IF($A5="","",SUMPRODUCT(('紐付け'!$A$4:$A$200=$A5)*('紐付け'!$C$4:$C$200&lt;&gt;"")*(COUNTIF('業務'!$C$4:$C$200,'紐付け'!$C$4:$C$200)=0)*(COUNTIFS('システム'!$A$4:$A$200,'紐付け'!$C$4:$C$200,'システム'!$N$4:$N$200,"留保")&gt;0)))</f>
        <v/>
      </c>
      <c r="AT5" s="11">
        <f>IF($A5="","",SUMPRODUCT(('紐付け'!$A$4:$A$200=$A5)*('紐付け'!$C$4:$C$200&lt;&gt;"")*(COUNTIF('業務'!$C$4:$C$200,'紐付け'!$C$4:$C$200)=0))-AS5)</f>
        <v/>
      </c>
      <c r="AU5" s="11">
        <f>IF($A5="","",COUNTIF('契約'!$C$4:$C$200,$A5))</f>
        <v/>
      </c>
      <c r="AV5" s="11">
        <f>IF($A5="","",COUNTIFS('契約'!$C$4:$C$200,$A5,'契約'!$O$4:$O$200,"移管"))</f>
        <v/>
      </c>
      <c r="AW5" s="11">
        <f>IF($A5="","",COUNTIFS('契約'!$C$4:$C$200,$A5,'契約'!$O$4:$O$200,"一部"))</f>
        <v/>
      </c>
      <c r="AX5" s="11">
        <f>IF($A5="","",COUNTIFS('契約'!$C$4:$C$200,$A5,'契約'!$O$4:$O$200,"判定保留"))</f>
        <v/>
      </c>
      <c r="AY5" s="11">
        <f>IF($A5="","",COUNTIFS('契約'!$C$4:$C$200,$A5,'契約'!$O$4:$O$200,"留保"))</f>
        <v/>
      </c>
    </row>
    <row r="6">
      <c r="A6" s="11" t="inlineStr">
        <is>
          <t>BUD-002</t>
        </is>
      </c>
      <c r="B6" s="11" t="inlineStr">
        <is>
          <t>品質文書システムの保守</t>
        </is>
      </c>
      <c r="C6" s="11" t="inlineStr">
        <is>
          <t>eDMSの保守契約とバリデーション支援</t>
        </is>
      </c>
      <c r="D6" s="11" t="inlineStr">
        <is>
          <t>佐藤</t>
        </is>
      </c>
      <c r="E6" s="11" t="inlineStr">
        <is>
          <t>CC-3200</t>
        </is>
      </c>
      <c r="F6" s="11" t="inlineStr">
        <is>
          <t>修繕費</t>
        </is>
      </c>
      <c r="G6" s="12" t="n">
        <v>0</v>
      </c>
      <c r="H6" s="12" t="n">
        <v>0</v>
      </c>
      <c r="I6" s="12" t="n">
        <v>0</v>
      </c>
      <c r="J6" s="12" t="n">
        <v>4500000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4500000</v>
      </c>
      <c r="Q6" s="12" t="n">
        <v>0</v>
      </c>
      <c r="R6" s="12" t="n">
        <v>0</v>
      </c>
      <c r="S6" s="13">
        <f>IF(COUNT(G6:R6)=0,"",SUM(G6:R6))</f>
        <v/>
      </c>
      <c r="T6" s="12" t="n">
        <v>0</v>
      </c>
      <c r="U6" s="12" t="n">
        <v>0</v>
      </c>
      <c r="V6" s="12" t="n">
        <v>0</v>
      </c>
      <c r="W6" s="12" t="n">
        <v>4700000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4700000</v>
      </c>
      <c r="AD6" s="12" t="n">
        <v>0</v>
      </c>
      <c r="AE6" s="12" t="n">
        <v>0</v>
      </c>
      <c r="AF6" s="13">
        <f>IF(COUNT(T6:AE6)=0,"",SUM(T6:AE6))</f>
        <v/>
      </c>
      <c r="AG6" s="11" t="inlineStr">
        <is>
          <t>固定費</t>
        </is>
      </c>
      <c r="AH6" s="11" t="inlineStr">
        <is>
          <t>現場</t>
        </is>
      </c>
      <c r="AI6" s="11" t="inlineStr">
        <is>
          <t>現場</t>
        </is>
      </c>
      <c r="AJ6" s="11" t="inlineStr">
        <is>
          <t>現場</t>
        </is>
      </c>
      <c r="AK6" s="11" t="inlineStr">
        <is>
          <t>GxP対応があるため当面は自部門で管理したい</t>
        </is>
      </c>
      <c r="AL6" s="11">
        <f>IF($A6="","",IF(OR(AM6="移管",AN6="移管"),"移管",IF(OR(AM6="一部",AN6="一部"),"一部",IF(OR(AM6="判定保留",AN6="判定保留"),"判定保留",IF(OR(AM6="留保",AN6="留保"),"留保","対象外")))))</f>
        <v/>
      </c>
      <c r="AM6" s="11">
        <f>IF($A6="","",IF(AU6=0,"対象外",IF(AV6=AU6,"移管",IF(AV6+AW6&gt;0,"一部",IF(AX6&gt;0,"判定保留",IF(AY6&gt;0,"留保","対象外"))))))</f>
        <v/>
      </c>
      <c r="AN6" s="11">
        <f>IF($A6="","",IF((AO6+AS6+AT6)=0,"対象外",IF(AP6=(AO6+AS6+AT6),"移管",IF(AP6&gt;0,"一部",IF(AR6+AT6&gt;0,"判定保留",IF(AQ6+AS6&gt;0,"留保","対象外"))))))</f>
        <v/>
      </c>
      <c r="AO6" s="11">
        <f>IF($A6="","",SUMPRODUCT((COUNTIFS('紐付け'!$A$4:$A$200,$A6,'紐付け'!$C$4:$C$200,'業務'!$C$4:$C$200)&gt;0)*('業務'!$A$4:$A$200&lt;&gt;"")))</f>
        <v/>
      </c>
      <c r="AP6" s="11">
        <f>IF($A6="","",SUMPRODUCT((COUNTIFS('紐付け'!$A$4:$A$200,$A6,'紐付け'!$C$4:$C$200,'業務'!$C$4:$C$200)&gt;0)*('業務'!$A$4:$A$200&lt;&gt;"")*('業務'!$P$4:$P$200="移管")))</f>
        <v/>
      </c>
      <c r="AQ6" s="11">
        <f>IF($A6="","",SUMPRODUCT((COUNTIFS('紐付け'!$A$4:$A$200,$A6,'紐付け'!$C$4:$C$200,'業務'!$C$4:$C$200)&gt;0)*('業務'!$A$4:$A$200&lt;&gt;"")*('業務'!$P$4:$P$200="留保")))</f>
        <v/>
      </c>
      <c r="AR6" s="11">
        <f>IF($A6="","",AO6-AP6-AQ6)</f>
        <v/>
      </c>
      <c r="AS6" s="11">
        <f>IF($A6="","",SUMPRODUCT(('紐付け'!$A$4:$A$200=$A6)*('紐付け'!$C$4:$C$200&lt;&gt;"")*(COUNTIF('業務'!$C$4:$C$200,'紐付け'!$C$4:$C$200)=0)*(COUNTIFS('システム'!$A$4:$A$200,'紐付け'!$C$4:$C$200,'システム'!$N$4:$N$200,"留保")&gt;0)))</f>
        <v/>
      </c>
      <c r="AT6" s="11">
        <f>IF($A6="","",SUMPRODUCT(('紐付け'!$A$4:$A$200=$A6)*('紐付け'!$C$4:$C$200&lt;&gt;"")*(COUNTIF('業務'!$C$4:$C$200,'紐付け'!$C$4:$C$200)=0))-AS6)</f>
        <v/>
      </c>
      <c r="AU6" s="11">
        <f>IF($A6="","",COUNTIF('契約'!$C$4:$C$200,$A6))</f>
        <v/>
      </c>
      <c r="AV6" s="11">
        <f>IF($A6="","",COUNTIFS('契約'!$C$4:$C$200,$A6,'契約'!$O$4:$O$200,"移管"))</f>
        <v/>
      </c>
      <c r="AW6" s="11">
        <f>IF($A6="","",COUNTIFS('契約'!$C$4:$C$200,$A6,'契約'!$O$4:$O$200,"一部"))</f>
        <v/>
      </c>
      <c r="AX6" s="11">
        <f>IF($A6="","",COUNTIFS('契約'!$C$4:$C$200,$A6,'契約'!$O$4:$O$200,"判定保留"))</f>
        <v/>
      </c>
      <c r="AY6" s="11">
        <f>IF($A6="","",COUNTIFS('契約'!$C$4:$C$200,$A6,'契約'!$O$4:$O$200,"留保"))</f>
        <v/>
      </c>
    </row>
    <row r="7">
      <c r="A7" s="11" t="inlineStr">
        <is>
          <t>BUD-003</t>
        </is>
      </c>
      <c r="B7" s="11" t="inlineStr">
        <is>
          <t>実験データ集計ツールの改修</t>
        </is>
      </c>
      <c r="C7" s="11" t="inlineStr">
        <is>
          <t>研究本部だけで使う集計ツールの機能追加</t>
        </is>
      </c>
      <c r="D7" s="11" t="inlineStr">
        <is>
          <t>鈴木</t>
        </is>
      </c>
      <c r="E7" s="11" t="inlineStr">
        <is>
          <t>CC-4100</t>
        </is>
      </c>
      <c r="F7" s="11" t="inlineStr">
        <is>
          <t>外注費</t>
        </is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3">
        <f>IF(COUNT(G7:R7)=0,"",SUM(G7:R7))</f>
        <v/>
      </c>
      <c r="T7" s="12" t="n">
        <v>0</v>
      </c>
      <c r="U7" s="12" t="n">
        <v>0</v>
      </c>
      <c r="V7" s="12" t="n">
        <v>3000000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3">
        <f>IF(COUNT(T7:AE7)=0,"",SUM(T7:AE7))</f>
        <v/>
      </c>
      <c r="AG7" s="11" t="inlineStr">
        <is>
          <t>現場固有の増分</t>
        </is>
      </c>
      <c r="AH7" s="11" t="inlineStr">
        <is>
          <t>現場</t>
        </is>
      </c>
      <c r="AI7" s="11" t="inlineStr">
        <is>
          <t>現場</t>
        </is>
      </c>
      <c r="AJ7" s="11" t="inlineStr">
        <is>
          <t>現場</t>
        </is>
      </c>
      <c r="AK7" s="11" t="inlineStr">
        <is>
          <t>業務に密着しているため現場で持つ</t>
        </is>
      </c>
      <c r="AL7" s="11">
        <f>IF($A7="","",IF(OR(AM7="移管",AN7="移管"),"移管",IF(OR(AM7="一部",AN7="一部"),"一部",IF(OR(AM7="判定保留",AN7="判定保留"),"判定保留",IF(OR(AM7="留保",AN7="留保"),"留保","対象外")))))</f>
        <v/>
      </c>
      <c r="AM7" s="11">
        <f>IF($A7="","",IF(AU7=0,"対象外",IF(AV7=AU7,"移管",IF(AV7+AW7&gt;0,"一部",IF(AX7&gt;0,"判定保留",IF(AY7&gt;0,"留保","対象外"))))))</f>
        <v/>
      </c>
      <c r="AN7" s="11">
        <f>IF($A7="","",IF((AO7+AS7+AT7)=0,"対象外",IF(AP7=(AO7+AS7+AT7),"移管",IF(AP7&gt;0,"一部",IF(AR7+AT7&gt;0,"判定保留",IF(AQ7+AS7&gt;0,"留保","対象外"))))))</f>
        <v/>
      </c>
      <c r="AO7" s="11">
        <f>IF($A7="","",SUMPRODUCT((COUNTIFS('紐付け'!$A$4:$A$200,$A7,'紐付け'!$C$4:$C$200,'業務'!$C$4:$C$200)&gt;0)*('業務'!$A$4:$A$200&lt;&gt;"")))</f>
        <v/>
      </c>
      <c r="AP7" s="11">
        <f>IF($A7="","",SUMPRODUCT((COUNTIFS('紐付け'!$A$4:$A$200,$A7,'紐付け'!$C$4:$C$200,'業務'!$C$4:$C$200)&gt;0)*('業務'!$A$4:$A$200&lt;&gt;"")*('業務'!$P$4:$P$200="移管")))</f>
        <v/>
      </c>
      <c r="AQ7" s="11">
        <f>IF($A7="","",SUMPRODUCT((COUNTIFS('紐付け'!$A$4:$A$200,$A7,'紐付け'!$C$4:$C$200,'業務'!$C$4:$C$200)&gt;0)*('業務'!$A$4:$A$200&lt;&gt;"")*('業務'!$P$4:$P$200="留保")))</f>
        <v/>
      </c>
      <c r="AR7" s="11">
        <f>IF($A7="","",AO7-AP7-AQ7)</f>
        <v/>
      </c>
      <c r="AS7" s="11">
        <f>IF($A7="","",SUMPRODUCT(('紐付け'!$A$4:$A$200=$A7)*('紐付け'!$C$4:$C$200&lt;&gt;"")*(COUNTIF('業務'!$C$4:$C$200,'紐付け'!$C$4:$C$200)=0)*(COUNTIFS('システム'!$A$4:$A$200,'紐付け'!$C$4:$C$200,'システム'!$N$4:$N$200,"留保")&gt;0)))</f>
        <v/>
      </c>
      <c r="AT7" s="11">
        <f>IF($A7="","",SUMPRODUCT(('紐付け'!$A$4:$A$200=$A7)*('紐付け'!$C$4:$C$200&lt;&gt;"")*(COUNTIF('業務'!$C$4:$C$200,'紐付け'!$C$4:$C$200)=0))-AS7)</f>
        <v/>
      </c>
      <c r="AU7" s="11">
        <f>IF($A7="","",COUNTIF('契約'!$C$4:$C$200,$A7))</f>
        <v/>
      </c>
      <c r="AV7" s="11">
        <f>IF($A7="","",COUNTIFS('契約'!$C$4:$C$200,$A7,'契約'!$O$4:$O$200,"移管"))</f>
        <v/>
      </c>
      <c r="AW7" s="11">
        <f>IF($A7="","",COUNTIFS('契約'!$C$4:$C$200,$A7,'契約'!$O$4:$O$200,"一部"))</f>
        <v/>
      </c>
      <c r="AX7" s="11">
        <f>IF($A7="","",COUNTIFS('契約'!$C$4:$C$200,$A7,'契約'!$O$4:$O$200,"判定保留"))</f>
        <v/>
      </c>
      <c r="AY7" s="11">
        <f>IF($A7="","",COUNTIFS('契約'!$C$4:$C$200,$A7,'契約'!$O$4:$O$200,"留保"))</f>
        <v/>
      </c>
    </row>
    <row r="8">
      <c r="A8" s="17" t="n"/>
      <c r="B8" s="17" t="n"/>
      <c r="C8" s="17" t="n"/>
      <c r="D8" s="17" t="n"/>
      <c r="E8" s="17" t="n"/>
      <c r="F8" s="17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9">
        <f>IF(COUNT(G8:R8)=0,"",SUM(G8:R8))</f>
        <v/>
      </c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9">
        <f>IF(COUNT(T8:AE8)=0,"",SUM(T8:AE8))</f>
        <v/>
      </c>
      <c r="AG8" s="17" t="n"/>
      <c r="AH8" s="17" t="n"/>
      <c r="AI8" s="17" t="n"/>
      <c r="AJ8" s="17" t="n"/>
      <c r="AK8" s="17" t="n"/>
      <c r="AL8" s="22">
        <f>IF($A8="","",IF(OR(AM8="移管",AN8="移管"),"移管",IF(OR(AM8="一部",AN8="一部"),"一部",IF(OR(AM8="判定保留",AN8="判定保留"),"判定保留",IF(OR(AM8="留保",AN8="留保"),"留保","対象外")))))</f>
        <v/>
      </c>
      <c r="AM8" s="22">
        <f>IF($A8="","",IF(AU8=0,"対象外",IF(AV8=AU8,"移管",IF(AV8+AW8&gt;0,"一部",IF(AX8&gt;0,"判定保留",IF(AY8&gt;0,"留保","対象外"))))))</f>
        <v/>
      </c>
      <c r="AN8" s="22">
        <f>IF($A8="","",IF((AO8+AS8+AT8)=0,"対象外",IF(AP8=(AO8+AS8+AT8),"移管",IF(AP8&gt;0,"一部",IF(AR8+AT8&gt;0,"判定保留",IF(AQ8+AS8&gt;0,"留保","対象外"))))))</f>
        <v/>
      </c>
      <c r="AO8" s="22">
        <f>IF($A8="","",SUMPRODUCT((COUNTIFS('紐付け'!$A$4:$A$200,$A8,'紐付け'!$C$4:$C$200,'業務'!$C$4:$C$200)&gt;0)*('業務'!$A$4:$A$200&lt;&gt;"")))</f>
        <v/>
      </c>
      <c r="AP8" s="22">
        <f>IF($A8="","",SUMPRODUCT((COUNTIFS('紐付け'!$A$4:$A$200,$A8,'紐付け'!$C$4:$C$200,'業務'!$C$4:$C$200)&gt;0)*('業務'!$A$4:$A$200&lt;&gt;"")*('業務'!$P$4:$P$200="移管")))</f>
        <v/>
      </c>
      <c r="AQ8" s="22">
        <f>IF($A8="","",SUMPRODUCT((COUNTIFS('紐付け'!$A$4:$A$200,$A8,'紐付け'!$C$4:$C$200,'業務'!$C$4:$C$200)&gt;0)*('業務'!$A$4:$A$200&lt;&gt;"")*('業務'!$P$4:$P$200="留保")))</f>
        <v/>
      </c>
      <c r="AR8" s="22">
        <f>IF($A8="","",AO8-AP8-AQ8)</f>
        <v/>
      </c>
      <c r="AS8" s="22">
        <f>IF($A8="","",SUMPRODUCT(('紐付け'!$A$4:$A$200=$A8)*('紐付け'!$C$4:$C$200&lt;&gt;"")*(COUNTIF('業務'!$C$4:$C$200,'紐付け'!$C$4:$C$200)=0)*(COUNTIFS('システム'!$A$4:$A$200,'紐付け'!$C$4:$C$200,'システム'!$N$4:$N$200,"留保")&gt;0)))</f>
        <v/>
      </c>
      <c r="AT8" s="22">
        <f>IF($A8="","",SUMPRODUCT(('紐付け'!$A$4:$A$200=$A8)*('紐付け'!$C$4:$C$200&lt;&gt;"")*(COUNTIF('業務'!$C$4:$C$200,'紐付け'!$C$4:$C$200)=0))-AS8)</f>
        <v/>
      </c>
      <c r="AU8" s="22">
        <f>IF($A8="","",COUNTIF('契約'!$C$4:$C$200,$A8))</f>
        <v/>
      </c>
      <c r="AV8" s="22">
        <f>IF($A8="","",COUNTIFS('契約'!$C$4:$C$200,$A8,'契約'!$O$4:$O$200,"移管"))</f>
        <v/>
      </c>
      <c r="AW8" s="22">
        <f>IF($A8="","",COUNTIFS('契約'!$C$4:$C$200,$A8,'契約'!$O$4:$O$200,"一部"))</f>
        <v/>
      </c>
      <c r="AX8" s="22">
        <f>IF($A8="","",COUNTIFS('契約'!$C$4:$C$200,$A8,'契約'!$O$4:$O$200,"判定保留"))</f>
        <v/>
      </c>
      <c r="AY8" s="22">
        <f>IF($A8="","",COUNTIFS('契約'!$C$4:$C$200,$A8,'契約'!$O$4:$O$200,"留保"))</f>
        <v/>
      </c>
    </row>
    <row r="9">
      <c r="A9" s="17" t="n"/>
      <c r="B9" s="17" t="n"/>
      <c r="C9" s="17" t="n"/>
      <c r="D9" s="17" t="n"/>
      <c r="E9" s="17" t="n"/>
      <c r="F9" s="17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9">
        <f>IF(COUNT(G9:R9)=0,"",SUM(G9:R9))</f>
        <v/>
      </c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9">
        <f>IF(COUNT(T9:AE9)=0,"",SUM(T9:AE9))</f>
        <v/>
      </c>
      <c r="AG9" s="17" t="n"/>
      <c r="AH9" s="17" t="n"/>
      <c r="AI9" s="17" t="n"/>
      <c r="AJ9" s="17" t="n"/>
      <c r="AK9" s="17" t="n"/>
      <c r="AL9" s="22">
        <f>IF($A9="","",IF(OR(AM9="移管",AN9="移管"),"移管",IF(OR(AM9="一部",AN9="一部"),"一部",IF(OR(AM9="判定保留",AN9="判定保留"),"判定保留",IF(OR(AM9="留保",AN9="留保"),"留保","対象外")))))</f>
        <v/>
      </c>
      <c r="AM9" s="22">
        <f>IF($A9="","",IF(AU9=0,"対象外",IF(AV9=AU9,"移管",IF(AV9+AW9&gt;0,"一部",IF(AX9&gt;0,"判定保留",IF(AY9&gt;0,"留保","対象外"))))))</f>
        <v/>
      </c>
      <c r="AN9" s="22">
        <f>IF($A9="","",IF((AO9+AS9+AT9)=0,"対象外",IF(AP9=(AO9+AS9+AT9),"移管",IF(AP9&gt;0,"一部",IF(AR9+AT9&gt;0,"判定保留",IF(AQ9+AS9&gt;0,"留保","対象外"))))))</f>
        <v/>
      </c>
      <c r="AO9" s="22">
        <f>IF($A9="","",SUMPRODUCT((COUNTIFS('紐付け'!$A$4:$A$200,$A9,'紐付け'!$C$4:$C$200,'業務'!$C$4:$C$200)&gt;0)*('業務'!$A$4:$A$200&lt;&gt;"")))</f>
        <v/>
      </c>
      <c r="AP9" s="22">
        <f>IF($A9="","",SUMPRODUCT((COUNTIFS('紐付け'!$A$4:$A$200,$A9,'紐付け'!$C$4:$C$200,'業務'!$C$4:$C$200)&gt;0)*('業務'!$A$4:$A$200&lt;&gt;"")*('業務'!$P$4:$P$200="移管")))</f>
        <v/>
      </c>
      <c r="AQ9" s="22">
        <f>IF($A9="","",SUMPRODUCT((COUNTIFS('紐付け'!$A$4:$A$200,$A9,'紐付け'!$C$4:$C$200,'業務'!$C$4:$C$200)&gt;0)*('業務'!$A$4:$A$200&lt;&gt;"")*('業務'!$P$4:$P$200="留保")))</f>
        <v/>
      </c>
      <c r="AR9" s="22">
        <f>IF($A9="","",AO9-AP9-AQ9)</f>
        <v/>
      </c>
      <c r="AS9" s="22">
        <f>IF($A9="","",SUMPRODUCT(('紐付け'!$A$4:$A$200=$A9)*('紐付け'!$C$4:$C$200&lt;&gt;"")*(COUNTIF('業務'!$C$4:$C$200,'紐付け'!$C$4:$C$200)=0)*(COUNTIFS('システム'!$A$4:$A$200,'紐付け'!$C$4:$C$200,'システム'!$N$4:$N$200,"留保")&gt;0)))</f>
        <v/>
      </c>
      <c r="AT9" s="22">
        <f>IF($A9="","",SUMPRODUCT(('紐付け'!$A$4:$A$200=$A9)*('紐付け'!$C$4:$C$200&lt;&gt;"")*(COUNTIF('業務'!$C$4:$C$200,'紐付け'!$C$4:$C$200)=0))-AS9)</f>
        <v/>
      </c>
      <c r="AU9" s="22">
        <f>IF($A9="","",COUNTIF('契約'!$C$4:$C$200,$A9))</f>
        <v/>
      </c>
      <c r="AV9" s="22">
        <f>IF($A9="","",COUNTIFS('契約'!$C$4:$C$200,$A9,'契約'!$O$4:$O$200,"移管"))</f>
        <v/>
      </c>
      <c r="AW9" s="22">
        <f>IF($A9="","",COUNTIFS('契約'!$C$4:$C$200,$A9,'契約'!$O$4:$O$200,"一部"))</f>
        <v/>
      </c>
      <c r="AX9" s="22">
        <f>IF($A9="","",COUNTIFS('契約'!$C$4:$C$200,$A9,'契約'!$O$4:$O$200,"判定保留"))</f>
        <v/>
      </c>
      <c r="AY9" s="22">
        <f>IF($A9="","",COUNTIFS('契約'!$C$4:$C$200,$A9,'契約'!$O$4:$O$200,"留保"))</f>
        <v/>
      </c>
    </row>
    <row r="10">
      <c r="A10" s="17" t="n"/>
      <c r="B10" s="17" t="n"/>
      <c r="C10" s="17" t="n"/>
      <c r="D10" s="17" t="n"/>
      <c r="E10" s="17" t="n"/>
      <c r="F10" s="17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9">
        <f>IF(COUNT(G10:R10)=0,"",SUM(G10:R10))</f>
        <v/>
      </c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9">
        <f>IF(COUNT(T10:AE10)=0,"",SUM(T10:AE10))</f>
        <v/>
      </c>
      <c r="AG10" s="17" t="n"/>
      <c r="AH10" s="17" t="n"/>
      <c r="AI10" s="17" t="n"/>
      <c r="AJ10" s="17" t="n"/>
      <c r="AK10" s="17" t="n"/>
      <c r="AL10" s="22">
        <f>IF($A10="","",IF(OR(AM10="移管",AN10="移管"),"移管",IF(OR(AM10="一部",AN10="一部"),"一部",IF(OR(AM10="判定保留",AN10="判定保留"),"判定保留",IF(OR(AM10="留保",AN10="留保"),"留保","対象外")))))</f>
        <v/>
      </c>
      <c r="AM10" s="22">
        <f>IF($A10="","",IF(AU10=0,"対象外",IF(AV10=AU10,"移管",IF(AV10+AW10&gt;0,"一部",IF(AX10&gt;0,"判定保留",IF(AY10&gt;0,"留保","対象外"))))))</f>
        <v/>
      </c>
      <c r="AN10" s="22">
        <f>IF($A10="","",IF((AO10+AS10+AT10)=0,"対象外",IF(AP10=(AO10+AS10+AT10),"移管",IF(AP10&gt;0,"一部",IF(AR10+AT10&gt;0,"判定保留",IF(AQ10+AS10&gt;0,"留保","対象外"))))))</f>
        <v/>
      </c>
      <c r="AO10" s="22">
        <f>IF($A10="","",SUMPRODUCT((COUNTIFS('紐付け'!$A$4:$A$200,$A10,'紐付け'!$C$4:$C$200,'業務'!$C$4:$C$200)&gt;0)*('業務'!$A$4:$A$200&lt;&gt;"")))</f>
        <v/>
      </c>
      <c r="AP10" s="22">
        <f>IF($A10="","",SUMPRODUCT((COUNTIFS('紐付け'!$A$4:$A$200,$A10,'紐付け'!$C$4:$C$200,'業務'!$C$4:$C$200)&gt;0)*('業務'!$A$4:$A$200&lt;&gt;"")*('業務'!$P$4:$P$200="移管")))</f>
        <v/>
      </c>
      <c r="AQ10" s="22">
        <f>IF($A10="","",SUMPRODUCT((COUNTIFS('紐付け'!$A$4:$A$200,$A10,'紐付け'!$C$4:$C$200,'業務'!$C$4:$C$200)&gt;0)*('業務'!$A$4:$A$200&lt;&gt;"")*('業務'!$P$4:$P$200="留保")))</f>
        <v/>
      </c>
      <c r="AR10" s="22">
        <f>IF($A10="","",AO10-AP10-AQ10)</f>
        <v/>
      </c>
      <c r="AS10" s="22">
        <f>IF($A10="","",SUMPRODUCT(('紐付け'!$A$4:$A$200=$A10)*('紐付け'!$C$4:$C$200&lt;&gt;"")*(COUNTIF('業務'!$C$4:$C$200,'紐付け'!$C$4:$C$200)=0)*(COUNTIFS('システム'!$A$4:$A$200,'紐付け'!$C$4:$C$200,'システム'!$N$4:$N$200,"留保")&gt;0)))</f>
        <v/>
      </c>
      <c r="AT10" s="22">
        <f>IF($A10="","",SUMPRODUCT(('紐付け'!$A$4:$A$200=$A10)*('紐付け'!$C$4:$C$200&lt;&gt;"")*(COUNTIF('業務'!$C$4:$C$200,'紐付け'!$C$4:$C$200)=0))-AS10)</f>
        <v/>
      </c>
      <c r="AU10" s="22">
        <f>IF($A10="","",COUNTIF('契約'!$C$4:$C$200,$A10))</f>
        <v/>
      </c>
      <c r="AV10" s="22">
        <f>IF($A10="","",COUNTIFS('契約'!$C$4:$C$200,$A10,'契約'!$O$4:$O$200,"移管"))</f>
        <v/>
      </c>
      <c r="AW10" s="22">
        <f>IF($A10="","",COUNTIFS('契約'!$C$4:$C$200,$A10,'契約'!$O$4:$O$200,"一部"))</f>
        <v/>
      </c>
      <c r="AX10" s="22">
        <f>IF($A10="","",COUNTIFS('契約'!$C$4:$C$200,$A10,'契約'!$O$4:$O$200,"判定保留"))</f>
        <v/>
      </c>
      <c r="AY10" s="22">
        <f>IF($A10="","",COUNTIFS('契約'!$C$4:$C$200,$A10,'契約'!$O$4:$O$200,"留保"))</f>
        <v/>
      </c>
    </row>
    <row r="11">
      <c r="A11" s="17" t="n"/>
      <c r="B11" s="17" t="n"/>
      <c r="C11" s="17" t="n"/>
      <c r="D11" s="17" t="n"/>
      <c r="E11" s="17" t="n"/>
      <c r="F11" s="17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9">
        <f>IF(COUNT(G11:R11)=0,"",SUM(G11:R11))</f>
        <v/>
      </c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9">
        <f>IF(COUNT(T11:AE11)=0,"",SUM(T11:AE11))</f>
        <v/>
      </c>
      <c r="AG11" s="17" t="n"/>
      <c r="AH11" s="17" t="n"/>
      <c r="AI11" s="17" t="n"/>
      <c r="AJ11" s="17" t="n"/>
      <c r="AK11" s="17" t="n"/>
      <c r="AL11" s="22">
        <f>IF($A11="","",IF(OR(AM11="移管",AN11="移管"),"移管",IF(OR(AM11="一部",AN11="一部"),"一部",IF(OR(AM11="判定保留",AN11="判定保留"),"判定保留",IF(OR(AM11="留保",AN11="留保"),"留保","対象外")))))</f>
        <v/>
      </c>
      <c r="AM11" s="22">
        <f>IF($A11="","",IF(AU11=0,"対象外",IF(AV11=AU11,"移管",IF(AV11+AW11&gt;0,"一部",IF(AX11&gt;0,"判定保留",IF(AY11&gt;0,"留保","対象外"))))))</f>
        <v/>
      </c>
      <c r="AN11" s="22">
        <f>IF($A11="","",IF((AO11+AS11+AT11)=0,"対象外",IF(AP11=(AO11+AS11+AT11),"移管",IF(AP11&gt;0,"一部",IF(AR11+AT11&gt;0,"判定保留",IF(AQ11+AS11&gt;0,"留保","対象外"))))))</f>
        <v/>
      </c>
      <c r="AO11" s="22">
        <f>IF($A11="","",SUMPRODUCT((COUNTIFS('紐付け'!$A$4:$A$200,$A11,'紐付け'!$C$4:$C$200,'業務'!$C$4:$C$200)&gt;0)*('業務'!$A$4:$A$200&lt;&gt;"")))</f>
        <v/>
      </c>
      <c r="AP11" s="22">
        <f>IF($A11="","",SUMPRODUCT((COUNTIFS('紐付け'!$A$4:$A$200,$A11,'紐付け'!$C$4:$C$200,'業務'!$C$4:$C$200)&gt;0)*('業務'!$A$4:$A$200&lt;&gt;"")*('業務'!$P$4:$P$200="移管")))</f>
        <v/>
      </c>
      <c r="AQ11" s="22">
        <f>IF($A11="","",SUMPRODUCT((COUNTIFS('紐付け'!$A$4:$A$200,$A11,'紐付け'!$C$4:$C$200,'業務'!$C$4:$C$200)&gt;0)*('業務'!$A$4:$A$200&lt;&gt;"")*('業務'!$P$4:$P$200="留保")))</f>
        <v/>
      </c>
      <c r="AR11" s="22">
        <f>IF($A11="","",AO11-AP11-AQ11)</f>
        <v/>
      </c>
      <c r="AS11" s="22">
        <f>IF($A11="","",SUMPRODUCT(('紐付け'!$A$4:$A$200=$A11)*('紐付け'!$C$4:$C$200&lt;&gt;"")*(COUNTIF('業務'!$C$4:$C$200,'紐付け'!$C$4:$C$200)=0)*(COUNTIFS('システム'!$A$4:$A$200,'紐付け'!$C$4:$C$200,'システム'!$N$4:$N$200,"留保")&gt;0)))</f>
        <v/>
      </c>
      <c r="AT11" s="22">
        <f>IF($A11="","",SUMPRODUCT(('紐付け'!$A$4:$A$200=$A11)*('紐付け'!$C$4:$C$200&lt;&gt;"")*(COUNTIF('業務'!$C$4:$C$200,'紐付け'!$C$4:$C$200)=0))-AS11)</f>
        <v/>
      </c>
      <c r="AU11" s="22">
        <f>IF($A11="","",COUNTIF('契約'!$C$4:$C$200,$A11))</f>
        <v/>
      </c>
      <c r="AV11" s="22">
        <f>IF($A11="","",COUNTIFS('契約'!$C$4:$C$200,$A11,'契約'!$O$4:$O$200,"移管"))</f>
        <v/>
      </c>
      <c r="AW11" s="22">
        <f>IF($A11="","",COUNTIFS('契約'!$C$4:$C$200,$A11,'契約'!$O$4:$O$200,"一部"))</f>
        <v/>
      </c>
      <c r="AX11" s="22">
        <f>IF($A11="","",COUNTIFS('契約'!$C$4:$C$200,$A11,'契約'!$O$4:$O$200,"判定保留"))</f>
        <v/>
      </c>
      <c r="AY11" s="22">
        <f>IF($A11="","",COUNTIFS('契約'!$C$4:$C$200,$A11,'契約'!$O$4:$O$200,"留保"))</f>
        <v/>
      </c>
    </row>
    <row r="12">
      <c r="A12" s="17" t="n"/>
      <c r="B12" s="17" t="n"/>
      <c r="C12" s="17" t="n"/>
      <c r="D12" s="17" t="n"/>
      <c r="E12" s="17" t="n"/>
      <c r="F12" s="17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9">
        <f>IF(COUNT(G12:R12)=0,"",SUM(G12:R12))</f>
        <v/>
      </c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9">
        <f>IF(COUNT(T12:AE12)=0,"",SUM(T12:AE12))</f>
        <v/>
      </c>
      <c r="AG12" s="17" t="n"/>
      <c r="AH12" s="17" t="n"/>
      <c r="AI12" s="17" t="n"/>
      <c r="AJ12" s="17" t="n"/>
      <c r="AK12" s="17" t="n"/>
      <c r="AL12" s="22">
        <f>IF($A12="","",IF(OR(AM12="移管",AN12="移管"),"移管",IF(OR(AM12="一部",AN12="一部"),"一部",IF(OR(AM12="判定保留",AN12="判定保留"),"判定保留",IF(OR(AM12="留保",AN12="留保"),"留保","対象外")))))</f>
        <v/>
      </c>
      <c r="AM12" s="22">
        <f>IF($A12="","",IF(AU12=0,"対象外",IF(AV12=AU12,"移管",IF(AV12+AW12&gt;0,"一部",IF(AX12&gt;0,"判定保留",IF(AY12&gt;0,"留保","対象外"))))))</f>
        <v/>
      </c>
      <c r="AN12" s="22">
        <f>IF($A12="","",IF((AO12+AS12+AT12)=0,"対象外",IF(AP12=(AO12+AS12+AT12),"移管",IF(AP12&gt;0,"一部",IF(AR12+AT12&gt;0,"判定保留",IF(AQ12+AS12&gt;0,"留保","対象外"))))))</f>
        <v/>
      </c>
      <c r="AO12" s="22">
        <f>IF($A12="","",SUMPRODUCT((COUNTIFS('紐付け'!$A$4:$A$200,$A12,'紐付け'!$C$4:$C$200,'業務'!$C$4:$C$200)&gt;0)*('業務'!$A$4:$A$200&lt;&gt;"")))</f>
        <v/>
      </c>
      <c r="AP12" s="22">
        <f>IF($A12="","",SUMPRODUCT((COUNTIFS('紐付け'!$A$4:$A$200,$A12,'紐付け'!$C$4:$C$200,'業務'!$C$4:$C$200)&gt;0)*('業務'!$A$4:$A$200&lt;&gt;"")*('業務'!$P$4:$P$200="移管")))</f>
        <v/>
      </c>
      <c r="AQ12" s="22">
        <f>IF($A12="","",SUMPRODUCT((COUNTIFS('紐付け'!$A$4:$A$200,$A12,'紐付け'!$C$4:$C$200,'業務'!$C$4:$C$200)&gt;0)*('業務'!$A$4:$A$200&lt;&gt;"")*('業務'!$P$4:$P$200="留保")))</f>
        <v/>
      </c>
      <c r="AR12" s="22">
        <f>IF($A12="","",AO12-AP12-AQ12)</f>
        <v/>
      </c>
      <c r="AS12" s="22">
        <f>IF($A12="","",SUMPRODUCT(('紐付け'!$A$4:$A$200=$A12)*('紐付け'!$C$4:$C$200&lt;&gt;"")*(COUNTIF('業務'!$C$4:$C$200,'紐付け'!$C$4:$C$200)=0)*(COUNTIFS('システム'!$A$4:$A$200,'紐付け'!$C$4:$C$200,'システム'!$N$4:$N$200,"留保")&gt;0)))</f>
        <v/>
      </c>
      <c r="AT12" s="22">
        <f>IF($A12="","",SUMPRODUCT(('紐付け'!$A$4:$A$200=$A12)*('紐付け'!$C$4:$C$200&lt;&gt;"")*(COUNTIF('業務'!$C$4:$C$200,'紐付け'!$C$4:$C$200)=0))-AS12)</f>
        <v/>
      </c>
      <c r="AU12" s="22">
        <f>IF($A12="","",COUNTIF('契約'!$C$4:$C$200,$A12))</f>
        <v/>
      </c>
      <c r="AV12" s="22">
        <f>IF($A12="","",COUNTIFS('契約'!$C$4:$C$200,$A12,'契約'!$O$4:$O$200,"移管"))</f>
        <v/>
      </c>
      <c r="AW12" s="22">
        <f>IF($A12="","",COUNTIFS('契約'!$C$4:$C$200,$A12,'契約'!$O$4:$O$200,"一部"))</f>
        <v/>
      </c>
      <c r="AX12" s="22">
        <f>IF($A12="","",COUNTIFS('契約'!$C$4:$C$200,$A12,'契約'!$O$4:$O$200,"判定保留"))</f>
        <v/>
      </c>
      <c r="AY12" s="22">
        <f>IF($A12="","",COUNTIFS('契約'!$C$4:$C$200,$A12,'契約'!$O$4:$O$200,"留保"))</f>
        <v/>
      </c>
    </row>
    <row r="13">
      <c r="A13" s="17" t="n"/>
      <c r="B13" s="17" t="n"/>
      <c r="C13" s="17" t="n"/>
      <c r="D13" s="17" t="n"/>
      <c r="E13" s="17" t="n"/>
      <c r="F13" s="17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9">
        <f>IF(COUNT(G13:R13)=0,"",SUM(G13:R13))</f>
        <v/>
      </c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9">
        <f>IF(COUNT(T13:AE13)=0,"",SUM(T13:AE13))</f>
        <v/>
      </c>
      <c r="AG13" s="17" t="n"/>
      <c r="AH13" s="17" t="n"/>
      <c r="AI13" s="17" t="n"/>
      <c r="AJ13" s="17" t="n"/>
      <c r="AK13" s="17" t="n"/>
      <c r="AL13" s="22">
        <f>IF($A13="","",IF(OR(AM13="移管",AN13="移管"),"移管",IF(OR(AM13="一部",AN13="一部"),"一部",IF(OR(AM13="判定保留",AN13="判定保留"),"判定保留",IF(OR(AM13="留保",AN13="留保"),"留保","対象外")))))</f>
        <v/>
      </c>
      <c r="AM13" s="22">
        <f>IF($A13="","",IF(AU13=0,"対象外",IF(AV13=AU13,"移管",IF(AV13+AW13&gt;0,"一部",IF(AX13&gt;0,"判定保留",IF(AY13&gt;0,"留保","対象外"))))))</f>
        <v/>
      </c>
      <c r="AN13" s="22">
        <f>IF($A13="","",IF((AO13+AS13+AT13)=0,"対象外",IF(AP13=(AO13+AS13+AT13),"移管",IF(AP13&gt;0,"一部",IF(AR13+AT13&gt;0,"判定保留",IF(AQ13+AS13&gt;0,"留保","対象外"))))))</f>
        <v/>
      </c>
      <c r="AO13" s="22">
        <f>IF($A13="","",SUMPRODUCT((COUNTIFS('紐付け'!$A$4:$A$200,$A13,'紐付け'!$C$4:$C$200,'業務'!$C$4:$C$200)&gt;0)*('業務'!$A$4:$A$200&lt;&gt;"")))</f>
        <v/>
      </c>
      <c r="AP13" s="22">
        <f>IF($A13="","",SUMPRODUCT((COUNTIFS('紐付け'!$A$4:$A$200,$A13,'紐付け'!$C$4:$C$200,'業務'!$C$4:$C$200)&gt;0)*('業務'!$A$4:$A$200&lt;&gt;"")*('業務'!$P$4:$P$200="移管")))</f>
        <v/>
      </c>
      <c r="AQ13" s="22">
        <f>IF($A13="","",SUMPRODUCT((COUNTIFS('紐付け'!$A$4:$A$200,$A13,'紐付け'!$C$4:$C$200,'業務'!$C$4:$C$200)&gt;0)*('業務'!$A$4:$A$200&lt;&gt;"")*('業務'!$P$4:$P$200="留保")))</f>
        <v/>
      </c>
      <c r="AR13" s="22">
        <f>IF($A13="","",AO13-AP13-AQ13)</f>
        <v/>
      </c>
      <c r="AS13" s="22">
        <f>IF($A13="","",SUMPRODUCT(('紐付け'!$A$4:$A$200=$A13)*('紐付け'!$C$4:$C$200&lt;&gt;"")*(COUNTIF('業務'!$C$4:$C$200,'紐付け'!$C$4:$C$200)=0)*(COUNTIFS('システム'!$A$4:$A$200,'紐付け'!$C$4:$C$200,'システム'!$N$4:$N$200,"留保")&gt;0)))</f>
        <v/>
      </c>
      <c r="AT13" s="22">
        <f>IF($A13="","",SUMPRODUCT(('紐付け'!$A$4:$A$200=$A13)*('紐付け'!$C$4:$C$200&lt;&gt;"")*(COUNTIF('業務'!$C$4:$C$200,'紐付け'!$C$4:$C$200)=0))-AS13)</f>
        <v/>
      </c>
      <c r="AU13" s="22">
        <f>IF($A13="","",COUNTIF('契約'!$C$4:$C$200,$A13))</f>
        <v/>
      </c>
      <c r="AV13" s="22">
        <f>IF($A13="","",COUNTIFS('契約'!$C$4:$C$200,$A13,'契約'!$O$4:$O$200,"移管"))</f>
        <v/>
      </c>
      <c r="AW13" s="22">
        <f>IF($A13="","",COUNTIFS('契約'!$C$4:$C$200,$A13,'契約'!$O$4:$O$200,"一部"))</f>
        <v/>
      </c>
      <c r="AX13" s="22">
        <f>IF($A13="","",COUNTIFS('契約'!$C$4:$C$200,$A13,'契約'!$O$4:$O$200,"判定保留"))</f>
        <v/>
      </c>
      <c r="AY13" s="22">
        <f>IF($A13="","",COUNTIFS('契約'!$C$4:$C$200,$A13,'契約'!$O$4:$O$200,"留保"))</f>
        <v/>
      </c>
    </row>
    <row r="14">
      <c r="A14" s="17" t="n"/>
      <c r="B14" s="17" t="n"/>
      <c r="C14" s="17" t="n"/>
      <c r="D14" s="17" t="n"/>
      <c r="E14" s="17" t="n"/>
      <c r="F14" s="17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9">
        <f>IF(COUNT(G14:R14)=0,"",SUM(G14:R14))</f>
        <v/>
      </c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9">
        <f>IF(COUNT(T14:AE14)=0,"",SUM(T14:AE14))</f>
        <v/>
      </c>
      <c r="AG14" s="17" t="n"/>
      <c r="AH14" s="17" t="n"/>
      <c r="AI14" s="17" t="n"/>
      <c r="AJ14" s="17" t="n"/>
      <c r="AK14" s="17" t="n"/>
      <c r="AL14" s="22">
        <f>IF($A14="","",IF(OR(AM14="移管",AN14="移管"),"移管",IF(OR(AM14="一部",AN14="一部"),"一部",IF(OR(AM14="判定保留",AN14="判定保留"),"判定保留",IF(OR(AM14="留保",AN14="留保"),"留保","対象外")))))</f>
        <v/>
      </c>
      <c r="AM14" s="22">
        <f>IF($A14="","",IF(AU14=0,"対象外",IF(AV14=AU14,"移管",IF(AV14+AW14&gt;0,"一部",IF(AX14&gt;0,"判定保留",IF(AY14&gt;0,"留保","対象外"))))))</f>
        <v/>
      </c>
      <c r="AN14" s="22">
        <f>IF($A14="","",IF((AO14+AS14+AT14)=0,"対象外",IF(AP14=(AO14+AS14+AT14),"移管",IF(AP14&gt;0,"一部",IF(AR14+AT14&gt;0,"判定保留",IF(AQ14+AS14&gt;0,"留保","対象外"))))))</f>
        <v/>
      </c>
      <c r="AO14" s="22">
        <f>IF($A14="","",SUMPRODUCT((COUNTIFS('紐付け'!$A$4:$A$200,$A14,'紐付け'!$C$4:$C$200,'業務'!$C$4:$C$200)&gt;0)*('業務'!$A$4:$A$200&lt;&gt;"")))</f>
        <v/>
      </c>
      <c r="AP14" s="22">
        <f>IF($A14="","",SUMPRODUCT((COUNTIFS('紐付け'!$A$4:$A$200,$A14,'紐付け'!$C$4:$C$200,'業務'!$C$4:$C$200)&gt;0)*('業務'!$A$4:$A$200&lt;&gt;"")*('業務'!$P$4:$P$200="移管")))</f>
        <v/>
      </c>
      <c r="AQ14" s="22">
        <f>IF($A14="","",SUMPRODUCT((COUNTIFS('紐付け'!$A$4:$A$200,$A14,'紐付け'!$C$4:$C$200,'業務'!$C$4:$C$200)&gt;0)*('業務'!$A$4:$A$200&lt;&gt;"")*('業務'!$P$4:$P$200="留保")))</f>
        <v/>
      </c>
      <c r="AR14" s="22">
        <f>IF($A14="","",AO14-AP14-AQ14)</f>
        <v/>
      </c>
      <c r="AS14" s="22">
        <f>IF($A14="","",SUMPRODUCT(('紐付け'!$A$4:$A$200=$A14)*('紐付け'!$C$4:$C$200&lt;&gt;"")*(COUNTIF('業務'!$C$4:$C$200,'紐付け'!$C$4:$C$200)=0)*(COUNTIFS('システム'!$A$4:$A$200,'紐付け'!$C$4:$C$200,'システム'!$N$4:$N$200,"留保")&gt;0)))</f>
        <v/>
      </c>
      <c r="AT14" s="22">
        <f>IF($A14="","",SUMPRODUCT(('紐付け'!$A$4:$A$200=$A14)*('紐付け'!$C$4:$C$200&lt;&gt;"")*(COUNTIF('業務'!$C$4:$C$200,'紐付け'!$C$4:$C$200)=0))-AS14)</f>
        <v/>
      </c>
      <c r="AU14" s="22">
        <f>IF($A14="","",COUNTIF('契約'!$C$4:$C$200,$A14))</f>
        <v/>
      </c>
      <c r="AV14" s="22">
        <f>IF($A14="","",COUNTIFS('契約'!$C$4:$C$200,$A14,'契約'!$O$4:$O$200,"移管"))</f>
        <v/>
      </c>
      <c r="AW14" s="22">
        <f>IF($A14="","",COUNTIFS('契約'!$C$4:$C$200,$A14,'契約'!$O$4:$O$200,"一部"))</f>
        <v/>
      </c>
      <c r="AX14" s="22">
        <f>IF($A14="","",COUNTIFS('契約'!$C$4:$C$200,$A14,'契約'!$O$4:$O$200,"判定保留"))</f>
        <v/>
      </c>
      <c r="AY14" s="22">
        <f>IF($A14="","",COUNTIFS('契約'!$C$4:$C$200,$A14,'契約'!$O$4:$O$200,"留保"))</f>
        <v/>
      </c>
    </row>
    <row r="15">
      <c r="A15" s="17" t="n"/>
      <c r="B15" s="17" t="n"/>
      <c r="C15" s="17" t="n"/>
      <c r="D15" s="17" t="n"/>
      <c r="E15" s="17" t="n"/>
      <c r="F15" s="17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9">
        <f>IF(COUNT(G15:R15)=0,"",SUM(G15:R15))</f>
        <v/>
      </c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9">
        <f>IF(COUNT(T15:AE15)=0,"",SUM(T15:AE15))</f>
        <v/>
      </c>
      <c r="AG15" s="17" t="n"/>
      <c r="AH15" s="17" t="n"/>
      <c r="AI15" s="17" t="n"/>
      <c r="AJ15" s="17" t="n"/>
      <c r="AK15" s="17" t="n"/>
      <c r="AL15" s="22">
        <f>IF($A15="","",IF(OR(AM15="移管",AN15="移管"),"移管",IF(OR(AM15="一部",AN15="一部"),"一部",IF(OR(AM15="判定保留",AN15="判定保留"),"判定保留",IF(OR(AM15="留保",AN15="留保"),"留保","対象外")))))</f>
        <v/>
      </c>
      <c r="AM15" s="22">
        <f>IF($A15="","",IF(AU15=0,"対象外",IF(AV15=AU15,"移管",IF(AV15+AW15&gt;0,"一部",IF(AX15&gt;0,"判定保留",IF(AY15&gt;0,"留保","対象外"))))))</f>
        <v/>
      </c>
      <c r="AN15" s="22">
        <f>IF($A15="","",IF((AO15+AS15+AT15)=0,"対象外",IF(AP15=(AO15+AS15+AT15),"移管",IF(AP15&gt;0,"一部",IF(AR15+AT15&gt;0,"判定保留",IF(AQ15+AS15&gt;0,"留保","対象外"))))))</f>
        <v/>
      </c>
      <c r="AO15" s="22">
        <f>IF($A15="","",SUMPRODUCT((COUNTIFS('紐付け'!$A$4:$A$200,$A15,'紐付け'!$C$4:$C$200,'業務'!$C$4:$C$200)&gt;0)*('業務'!$A$4:$A$200&lt;&gt;"")))</f>
        <v/>
      </c>
      <c r="AP15" s="22">
        <f>IF($A15="","",SUMPRODUCT((COUNTIFS('紐付け'!$A$4:$A$200,$A15,'紐付け'!$C$4:$C$200,'業務'!$C$4:$C$200)&gt;0)*('業務'!$A$4:$A$200&lt;&gt;"")*('業務'!$P$4:$P$200="移管")))</f>
        <v/>
      </c>
      <c r="AQ15" s="22">
        <f>IF($A15="","",SUMPRODUCT((COUNTIFS('紐付け'!$A$4:$A$200,$A15,'紐付け'!$C$4:$C$200,'業務'!$C$4:$C$200)&gt;0)*('業務'!$A$4:$A$200&lt;&gt;"")*('業務'!$P$4:$P$200="留保")))</f>
        <v/>
      </c>
      <c r="AR15" s="22">
        <f>IF($A15="","",AO15-AP15-AQ15)</f>
        <v/>
      </c>
      <c r="AS15" s="22">
        <f>IF($A15="","",SUMPRODUCT(('紐付け'!$A$4:$A$200=$A15)*('紐付け'!$C$4:$C$200&lt;&gt;"")*(COUNTIF('業務'!$C$4:$C$200,'紐付け'!$C$4:$C$200)=0)*(COUNTIFS('システム'!$A$4:$A$200,'紐付け'!$C$4:$C$200,'システム'!$N$4:$N$200,"留保")&gt;0)))</f>
        <v/>
      </c>
      <c r="AT15" s="22">
        <f>IF($A15="","",SUMPRODUCT(('紐付け'!$A$4:$A$200=$A15)*('紐付け'!$C$4:$C$200&lt;&gt;"")*(COUNTIF('業務'!$C$4:$C$200,'紐付け'!$C$4:$C$200)=0))-AS15)</f>
        <v/>
      </c>
      <c r="AU15" s="22">
        <f>IF($A15="","",COUNTIF('契約'!$C$4:$C$200,$A15))</f>
        <v/>
      </c>
      <c r="AV15" s="22">
        <f>IF($A15="","",COUNTIFS('契約'!$C$4:$C$200,$A15,'契約'!$O$4:$O$200,"移管"))</f>
        <v/>
      </c>
      <c r="AW15" s="22">
        <f>IF($A15="","",COUNTIFS('契約'!$C$4:$C$200,$A15,'契約'!$O$4:$O$200,"一部"))</f>
        <v/>
      </c>
      <c r="AX15" s="22">
        <f>IF($A15="","",COUNTIFS('契約'!$C$4:$C$200,$A15,'契約'!$O$4:$O$200,"判定保留"))</f>
        <v/>
      </c>
      <c r="AY15" s="22">
        <f>IF($A15="","",COUNTIFS('契約'!$C$4:$C$200,$A15,'契約'!$O$4:$O$200,"留保"))</f>
        <v/>
      </c>
    </row>
    <row r="16">
      <c r="A16" s="17" t="n"/>
      <c r="B16" s="17" t="n"/>
      <c r="C16" s="17" t="n"/>
      <c r="D16" s="17" t="n"/>
      <c r="E16" s="17" t="n"/>
      <c r="F16" s="17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9">
        <f>IF(COUNT(G16:R16)=0,"",SUM(G16:R16))</f>
        <v/>
      </c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9">
        <f>IF(COUNT(T16:AE16)=0,"",SUM(T16:AE16))</f>
        <v/>
      </c>
      <c r="AG16" s="17" t="n"/>
      <c r="AH16" s="17" t="n"/>
      <c r="AI16" s="17" t="n"/>
      <c r="AJ16" s="17" t="n"/>
      <c r="AK16" s="17" t="n"/>
      <c r="AL16" s="22">
        <f>IF($A16="","",IF(OR(AM16="移管",AN16="移管"),"移管",IF(OR(AM16="一部",AN16="一部"),"一部",IF(OR(AM16="判定保留",AN16="判定保留"),"判定保留",IF(OR(AM16="留保",AN16="留保"),"留保","対象外")))))</f>
        <v/>
      </c>
      <c r="AM16" s="22">
        <f>IF($A16="","",IF(AU16=0,"対象外",IF(AV16=AU16,"移管",IF(AV16+AW16&gt;0,"一部",IF(AX16&gt;0,"判定保留",IF(AY16&gt;0,"留保","対象外"))))))</f>
        <v/>
      </c>
      <c r="AN16" s="22">
        <f>IF($A16="","",IF((AO16+AS16+AT16)=0,"対象外",IF(AP16=(AO16+AS16+AT16),"移管",IF(AP16&gt;0,"一部",IF(AR16+AT16&gt;0,"判定保留",IF(AQ16+AS16&gt;0,"留保","対象外"))))))</f>
        <v/>
      </c>
      <c r="AO16" s="22">
        <f>IF($A16="","",SUMPRODUCT((COUNTIFS('紐付け'!$A$4:$A$200,$A16,'紐付け'!$C$4:$C$200,'業務'!$C$4:$C$200)&gt;0)*('業務'!$A$4:$A$200&lt;&gt;"")))</f>
        <v/>
      </c>
      <c r="AP16" s="22">
        <f>IF($A16="","",SUMPRODUCT((COUNTIFS('紐付け'!$A$4:$A$200,$A16,'紐付け'!$C$4:$C$200,'業務'!$C$4:$C$200)&gt;0)*('業務'!$A$4:$A$200&lt;&gt;"")*('業務'!$P$4:$P$200="移管")))</f>
        <v/>
      </c>
      <c r="AQ16" s="22">
        <f>IF($A16="","",SUMPRODUCT((COUNTIFS('紐付け'!$A$4:$A$200,$A16,'紐付け'!$C$4:$C$200,'業務'!$C$4:$C$200)&gt;0)*('業務'!$A$4:$A$200&lt;&gt;"")*('業務'!$P$4:$P$200="留保")))</f>
        <v/>
      </c>
      <c r="AR16" s="22">
        <f>IF($A16="","",AO16-AP16-AQ16)</f>
        <v/>
      </c>
      <c r="AS16" s="22">
        <f>IF($A16="","",SUMPRODUCT(('紐付け'!$A$4:$A$200=$A16)*('紐付け'!$C$4:$C$200&lt;&gt;"")*(COUNTIF('業務'!$C$4:$C$200,'紐付け'!$C$4:$C$200)=0)*(COUNTIFS('システム'!$A$4:$A$200,'紐付け'!$C$4:$C$200,'システム'!$N$4:$N$200,"留保")&gt;0)))</f>
        <v/>
      </c>
      <c r="AT16" s="22">
        <f>IF($A16="","",SUMPRODUCT(('紐付け'!$A$4:$A$200=$A16)*('紐付け'!$C$4:$C$200&lt;&gt;"")*(COUNTIF('業務'!$C$4:$C$200,'紐付け'!$C$4:$C$200)=0))-AS16)</f>
        <v/>
      </c>
      <c r="AU16" s="22">
        <f>IF($A16="","",COUNTIF('契約'!$C$4:$C$200,$A16))</f>
        <v/>
      </c>
      <c r="AV16" s="22">
        <f>IF($A16="","",COUNTIFS('契約'!$C$4:$C$200,$A16,'契約'!$O$4:$O$200,"移管"))</f>
        <v/>
      </c>
      <c r="AW16" s="22">
        <f>IF($A16="","",COUNTIFS('契約'!$C$4:$C$200,$A16,'契約'!$O$4:$O$200,"一部"))</f>
        <v/>
      </c>
      <c r="AX16" s="22">
        <f>IF($A16="","",COUNTIFS('契約'!$C$4:$C$200,$A16,'契約'!$O$4:$O$200,"判定保留"))</f>
        <v/>
      </c>
      <c r="AY16" s="22">
        <f>IF($A16="","",COUNTIFS('契約'!$C$4:$C$200,$A16,'契約'!$O$4:$O$200,"留保"))</f>
        <v/>
      </c>
    </row>
    <row r="17">
      <c r="A17" s="17" t="n"/>
      <c r="B17" s="17" t="n"/>
      <c r="C17" s="17" t="n"/>
      <c r="D17" s="17" t="n"/>
      <c r="E17" s="17" t="n"/>
      <c r="F17" s="17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9">
        <f>IF(COUNT(G17:R17)=0,"",SUM(G17:R17))</f>
        <v/>
      </c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9">
        <f>IF(COUNT(T17:AE17)=0,"",SUM(T17:AE17))</f>
        <v/>
      </c>
      <c r="AG17" s="17" t="n"/>
      <c r="AH17" s="17" t="n"/>
      <c r="AI17" s="17" t="n"/>
      <c r="AJ17" s="17" t="n"/>
      <c r="AK17" s="17" t="n"/>
      <c r="AL17" s="22">
        <f>IF($A17="","",IF(OR(AM17="移管",AN17="移管"),"移管",IF(OR(AM17="一部",AN17="一部"),"一部",IF(OR(AM17="判定保留",AN17="判定保留"),"判定保留",IF(OR(AM17="留保",AN17="留保"),"留保","対象外")))))</f>
        <v/>
      </c>
      <c r="AM17" s="22">
        <f>IF($A17="","",IF(AU17=0,"対象外",IF(AV17=AU17,"移管",IF(AV17+AW17&gt;0,"一部",IF(AX17&gt;0,"判定保留",IF(AY17&gt;0,"留保","対象外"))))))</f>
        <v/>
      </c>
      <c r="AN17" s="22">
        <f>IF($A17="","",IF((AO17+AS17+AT17)=0,"対象外",IF(AP17=(AO17+AS17+AT17),"移管",IF(AP17&gt;0,"一部",IF(AR17+AT17&gt;0,"判定保留",IF(AQ17+AS17&gt;0,"留保","対象外"))))))</f>
        <v/>
      </c>
      <c r="AO17" s="22">
        <f>IF($A17="","",SUMPRODUCT((COUNTIFS('紐付け'!$A$4:$A$200,$A17,'紐付け'!$C$4:$C$200,'業務'!$C$4:$C$200)&gt;0)*('業務'!$A$4:$A$200&lt;&gt;"")))</f>
        <v/>
      </c>
      <c r="AP17" s="22">
        <f>IF($A17="","",SUMPRODUCT((COUNTIFS('紐付け'!$A$4:$A$200,$A17,'紐付け'!$C$4:$C$200,'業務'!$C$4:$C$200)&gt;0)*('業務'!$A$4:$A$200&lt;&gt;"")*('業務'!$P$4:$P$200="移管")))</f>
        <v/>
      </c>
      <c r="AQ17" s="22">
        <f>IF($A17="","",SUMPRODUCT((COUNTIFS('紐付け'!$A$4:$A$200,$A17,'紐付け'!$C$4:$C$200,'業務'!$C$4:$C$200)&gt;0)*('業務'!$A$4:$A$200&lt;&gt;"")*('業務'!$P$4:$P$200="留保")))</f>
        <v/>
      </c>
      <c r="AR17" s="22">
        <f>IF($A17="","",AO17-AP17-AQ17)</f>
        <v/>
      </c>
      <c r="AS17" s="22">
        <f>IF($A17="","",SUMPRODUCT(('紐付け'!$A$4:$A$200=$A17)*('紐付け'!$C$4:$C$200&lt;&gt;"")*(COUNTIF('業務'!$C$4:$C$200,'紐付け'!$C$4:$C$200)=0)*(COUNTIFS('システム'!$A$4:$A$200,'紐付け'!$C$4:$C$200,'システム'!$N$4:$N$200,"留保")&gt;0)))</f>
        <v/>
      </c>
      <c r="AT17" s="22">
        <f>IF($A17="","",SUMPRODUCT(('紐付け'!$A$4:$A$200=$A17)*('紐付け'!$C$4:$C$200&lt;&gt;"")*(COUNTIF('業務'!$C$4:$C$200,'紐付け'!$C$4:$C$200)=0))-AS17)</f>
        <v/>
      </c>
      <c r="AU17" s="22">
        <f>IF($A17="","",COUNTIF('契約'!$C$4:$C$200,$A17))</f>
        <v/>
      </c>
      <c r="AV17" s="22">
        <f>IF($A17="","",COUNTIFS('契約'!$C$4:$C$200,$A17,'契約'!$O$4:$O$200,"移管"))</f>
        <v/>
      </c>
      <c r="AW17" s="22">
        <f>IF($A17="","",COUNTIFS('契約'!$C$4:$C$200,$A17,'契約'!$O$4:$O$200,"一部"))</f>
        <v/>
      </c>
      <c r="AX17" s="22">
        <f>IF($A17="","",COUNTIFS('契約'!$C$4:$C$200,$A17,'契約'!$O$4:$O$200,"判定保留"))</f>
        <v/>
      </c>
      <c r="AY17" s="22">
        <f>IF($A17="","",COUNTIFS('契約'!$C$4:$C$200,$A17,'契約'!$O$4:$O$200,"留保"))</f>
        <v/>
      </c>
    </row>
    <row r="18">
      <c r="A18" s="17" t="n"/>
      <c r="B18" s="17" t="n"/>
      <c r="C18" s="17" t="n"/>
      <c r="D18" s="17" t="n"/>
      <c r="E18" s="17" t="n"/>
      <c r="F18" s="17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9">
        <f>IF(COUNT(G18:R18)=0,"",SUM(G18:R18))</f>
        <v/>
      </c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9">
        <f>IF(COUNT(T18:AE18)=0,"",SUM(T18:AE18))</f>
        <v/>
      </c>
      <c r="AG18" s="17" t="n"/>
      <c r="AH18" s="17" t="n"/>
      <c r="AI18" s="17" t="n"/>
      <c r="AJ18" s="17" t="n"/>
      <c r="AK18" s="17" t="n"/>
      <c r="AL18" s="22">
        <f>IF($A18="","",IF(OR(AM18="移管",AN18="移管"),"移管",IF(OR(AM18="一部",AN18="一部"),"一部",IF(OR(AM18="判定保留",AN18="判定保留"),"判定保留",IF(OR(AM18="留保",AN18="留保"),"留保","対象外")))))</f>
        <v/>
      </c>
      <c r="AM18" s="22">
        <f>IF($A18="","",IF(AU18=0,"対象外",IF(AV18=AU18,"移管",IF(AV18+AW18&gt;0,"一部",IF(AX18&gt;0,"判定保留",IF(AY18&gt;0,"留保","対象外"))))))</f>
        <v/>
      </c>
      <c r="AN18" s="22">
        <f>IF($A18="","",IF((AO18+AS18+AT18)=0,"対象外",IF(AP18=(AO18+AS18+AT18),"移管",IF(AP18&gt;0,"一部",IF(AR18+AT18&gt;0,"判定保留",IF(AQ18+AS18&gt;0,"留保","対象外"))))))</f>
        <v/>
      </c>
      <c r="AO18" s="22">
        <f>IF($A18="","",SUMPRODUCT((COUNTIFS('紐付け'!$A$4:$A$200,$A18,'紐付け'!$C$4:$C$200,'業務'!$C$4:$C$200)&gt;0)*('業務'!$A$4:$A$200&lt;&gt;"")))</f>
        <v/>
      </c>
      <c r="AP18" s="22">
        <f>IF($A18="","",SUMPRODUCT((COUNTIFS('紐付け'!$A$4:$A$200,$A18,'紐付け'!$C$4:$C$200,'業務'!$C$4:$C$200)&gt;0)*('業務'!$A$4:$A$200&lt;&gt;"")*('業務'!$P$4:$P$200="移管")))</f>
        <v/>
      </c>
      <c r="AQ18" s="22">
        <f>IF($A18="","",SUMPRODUCT((COUNTIFS('紐付け'!$A$4:$A$200,$A18,'紐付け'!$C$4:$C$200,'業務'!$C$4:$C$200)&gt;0)*('業務'!$A$4:$A$200&lt;&gt;"")*('業務'!$P$4:$P$200="留保")))</f>
        <v/>
      </c>
      <c r="AR18" s="22">
        <f>IF($A18="","",AO18-AP18-AQ18)</f>
        <v/>
      </c>
      <c r="AS18" s="22">
        <f>IF($A18="","",SUMPRODUCT(('紐付け'!$A$4:$A$200=$A18)*('紐付け'!$C$4:$C$200&lt;&gt;"")*(COUNTIF('業務'!$C$4:$C$200,'紐付け'!$C$4:$C$200)=0)*(COUNTIFS('システム'!$A$4:$A$200,'紐付け'!$C$4:$C$200,'システム'!$N$4:$N$200,"留保")&gt;0)))</f>
        <v/>
      </c>
      <c r="AT18" s="22">
        <f>IF($A18="","",SUMPRODUCT(('紐付け'!$A$4:$A$200=$A18)*('紐付け'!$C$4:$C$200&lt;&gt;"")*(COUNTIF('業務'!$C$4:$C$200,'紐付け'!$C$4:$C$200)=0))-AS18)</f>
        <v/>
      </c>
      <c r="AU18" s="22">
        <f>IF($A18="","",COUNTIF('契約'!$C$4:$C$200,$A18))</f>
        <v/>
      </c>
      <c r="AV18" s="22">
        <f>IF($A18="","",COUNTIFS('契約'!$C$4:$C$200,$A18,'契約'!$O$4:$O$200,"移管"))</f>
        <v/>
      </c>
      <c r="AW18" s="22">
        <f>IF($A18="","",COUNTIFS('契約'!$C$4:$C$200,$A18,'契約'!$O$4:$O$200,"一部"))</f>
        <v/>
      </c>
      <c r="AX18" s="22">
        <f>IF($A18="","",COUNTIFS('契約'!$C$4:$C$200,$A18,'契約'!$O$4:$O$200,"判定保留"))</f>
        <v/>
      </c>
      <c r="AY18" s="22">
        <f>IF($A18="","",COUNTIFS('契約'!$C$4:$C$200,$A18,'契約'!$O$4:$O$200,"留保"))</f>
        <v/>
      </c>
    </row>
    <row r="19">
      <c r="A19" s="17" t="n"/>
      <c r="B19" s="17" t="n"/>
      <c r="C19" s="17" t="n"/>
      <c r="D19" s="17" t="n"/>
      <c r="E19" s="17" t="n"/>
      <c r="F19" s="17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9">
        <f>IF(COUNT(G19:R19)=0,"",SUM(G19:R19))</f>
        <v/>
      </c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9">
        <f>IF(COUNT(T19:AE19)=0,"",SUM(T19:AE19))</f>
        <v/>
      </c>
      <c r="AG19" s="17" t="n"/>
      <c r="AH19" s="17" t="n"/>
      <c r="AI19" s="17" t="n"/>
      <c r="AJ19" s="17" t="n"/>
      <c r="AK19" s="17" t="n"/>
      <c r="AL19" s="22">
        <f>IF($A19="","",IF(OR(AM19="移管",AN19="移管"),"移管",IF(OR(AM19="一部",AN19="一部"),"一部",IF(OR(AM19="判定保留",AN19="判定保留"),"判定保留",IF(OR(AM19="留保",AN19="留保"),"留保","対象外")))))</f>
        <v/>
      </c>
      <c r="AM19" s="22">
        <f>IF($A19="","",IF(AU19=0,"対象外",IF(AV19=AU19,"移管",IF(AV19+AW19&gt;0,"一部",IF(AX19&gt;0,"判定保留",IF(AY19&gt;0,"留保","対象外"))))))</f>
        <v/>
      </c>
      <c r="AN19" s="22">
        <f>IF($A19="","",IF((AO19+AS19+AT19)=0,"対象外",IF(AP19=(AO19+AS19+AT19),"移管",IF(AP19&gt;0,"一部",IF(AR19+AT19&gt;0,"判定保留",IF(AQ19+AS19&gt;0,"留保","対象外"))))))</f>
        <v/>
      </c>
      <c r="AO19" s="22">
        <f>IF($A19="","",SUMPRODUCT((COUNTIFS('紐付け'!$A$4:$A$200,$A19,'紐付け'!$C$4:$C$200,'業務'!$C$4:$C$200)&gt;0)*('業務'!$A$4:$A$200&lt;&gt;"")))</f>
        <v/>
      </c>
      <c r="AP19" s="22">
        <f>IF($A19="","",SUMPRODUCT((COUNTIFS('紐付け'!$A$4:$A$200,$A19,'紐付け'!$C$4:$C$200,'業務'!$C$4:$C$200)&gt;0)*('業務'!$A$4:$A$200&lt;&gt;"")*('業務'!$P$4:$P$200="移管")))</f>
        <v/>
      </c>
      <c r="AQ19" s="22">
        <f>IF($A19="","",SUMPRODUCT((COUNTIFS('紐付け'!$A$4:$A$200,$A19,'紐付け'!$C$4:$C$200,'業務'!$C$4:$C$200)&gt;0)*('業務'!$A$4:$A$200&lt;&gt;"")*('業務'!$P$4:$P$200="留保")))</f>
        <v/>
      </c>
      <c r="AR19" s="22">
        <f>IF($A19="","",AO19-AP19-AQ19)</f>
        <v/>
      </c>
      <c r="AS19" s="22">
        <f>IF($A19="","",SUMPRODUCT(('紐付け'!$A$4:$A$200=$A19)*('紐付け'!$C$4:$C$200&lt;&gt;"")*(COUNTIF('業務'!$C$4:$C$200,'紐付け'!$C$4:$C$200)=0)*(COUNTIFS('システム'!$A$4:$A$200,'紐付け'!$C$4:$C$200,'システム'!$N$4:$N$200,"留保")&gt;0)))</f>
        <v/>
      </c>
      <c r="AT19" s="22">
        <f>IF($A19="","",SUMPRODUCT(('紐付け'!$A$4:$A$200=$A19)*('紐付け'!$C$4:$C$200&lt;&gt;"")*(COUNTIF('業務'!$C$4:$C$200,'紐付け'!$C$4:$C$200)=0))-AS19)</f>
        <v/>
      </c>
      <c r="AU19" s="22">
        <f>IF($A19="","",COUNTIF('契約'!$C$4:$C$200,$A19))</f>
        <v/>
      </c>
      <c r="AV19" s="22">
        <f>IF($A19="","",COUNTIFS('契約'!$C$4:$C$200,$A19,'契約'!$O$4:$O$200,"移管"))</f>
        <v/>
      </c>
      <c r="AW19" s="22">
        <f>IF($A19="","",COUNTIFS('契約'!$C$4:$C$200,$A19,'契約'!$O$4:$O$200,"一部"))</f>
        <v/>
      </c>
      <c r="AX19" s="22">
        <f>IF($A19="","",COUNTIFS('契約'!$C$4:$C$200,$A19,'契約'!$O$4:$O$200,"判定保留"))</f>
        <v/>
      </c>
      <c r="AY19" s="22">
        <f>IF($A19="","",COUNTIFS('契約'!$C$4:$C$200,$A19,'契約'!$O$4:$O$200,"留保"))</f>
        <v/>
      </c>
    </row>
    <row r="20">
      <c r="A20" s="17" t="n"/>
      <c r="B20" s="17" t="n"/>
      <c r="C20" s="17" t="n"/>
      <c r="D20" s="17" t="n"/>
      <c r="E20" s="17" t="n"/>
      <c r="F20" s="17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9">
        <f>IF(COUNT(G20:R20)=0,"",SUM(G20:R20))</f>
        <v/>
      </c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9">
        <f>IF(COUNT(T20:AE20)=0,"",SUM(T20:AE20))</f>
        <v/>
      </c>
      <c r="AG20" s="17" t="n"/>
      <c r="AH20" s="17" t="n"/>
      <c r="AI20" s="17" t="n"/>
      <c r="AJ20" s="17" t="n"/>
      <c r="AK20" s="17" t="n"/>
      <c r="AL20" s="22">
        <f>IF($A20="","",IF(OR(AM20="移管",AN20="移管"),"移管",IF(OR(AM20="一部",AN20="一部"),"一部",IF(OR(AM20="判定保留",AN20="判定保留"),"判定保留",IF(OR(AM20="留保",AN20="留保"),"留保","対象外")))))</f>
        <v/>
      </c>
      <c r="AM20" s="22">
        <f>IF($A20="","",IF(AU20=0,"対象外",IF(AV20=AU20,"移管",IF(AV20+AW20&gt;0,"一部",IF(AX20&gt;0,"判定保留",IF(AY20&gt;0,"留保","対象外"))))))</f>
        <v/>
      </c>
      <c r="AN20" s="22">
        <f>IF($A20="","",IF((AO20+AS20+AT20)=0,"対象外",IF(AP20=(AO20+AS20+AT20),"移管",IF(AP20&gt;0,"一部",IF(AR20+AT20&gt;0,"判定保留",IF(AQ20+AS20&gt;0,"留保","対象外"))))))</f>
        <v/>
      </c>
      <c r="AO20" s="22">
        <f>IF($A20="","",SUMPRODUCT((COUNTIFS('紐付け'!$A$4:$A$200,$A20,'紐付け'!$C$4:$C$200,'業務'!$C$4:$C$200)&gt;0)*('業務'!$A$4:$A$200&lt;&gt;"")))</f>
        <v/>
      </c>
      <c r="AP20" s="22">
        <f>IF($A20="","",SUMPRODUCT((COUNTIFS('紐付け'!$A$4:$A$200,$A20,'紐付け'!$C$4:$C$200,'業務'!$C$4:$C$200)&gt;0)*('業務'!$A$4:$A$200&lt;&gt;"")*('業務'!$P$4:$P$200="移管")))</f>
        <v/>
      </c>
      <c r="AQ20" s="22">
        <f>IF($A20="","",SUMPRODUCT((COUNTIFS('紐付け'!$A$4:$A$200,$A20,'紐付け'!$C$4:$C$200,'業務'!$C$4:$C$200)&gt;0)*('業務'!$A$4:$A$200&lt;&gt;"")*('業務'!$P$4:$P$200="留保")))</f>
        <v/>
      </c>
      <c r="AR20" s="22">
        <f>IF($A20="","",AO20-AP20-AQ20)</f>
        <v/>
      </c>
      <c r="AS20" s="22">
        <f>IF($A20="","",SUMPRODUCT(('紐付け'!$A$4:$A$200=$A20)*('紐付け'!$C$4:$C$200&lt;&gt;"")*(COUNTIF('業務'!$C$4:$C$200,'紐付け'!$C$4:$C$200)=0)*(COUNTIFS('システム'!$A$4:$A$200,'紐付け'!$C$4:$C$200,'システム'!$N$4:$N$200,"留保")&gt;0)))</f>
        <v/>
      </c>
      <c r="AT20" s="22">
        <f>IF($A20="","",SUMPRODUCT(('紐付け'!$A$4:$A$200=$A20)*('紐付け'!$C$4:$C$200&lt;&gt;"")*(COUNTIF('業務'!$C$4:$C$200,'紐付け'!$C$4:$C$200)=0))-AS20)</f>
        <v/>
      </c>
      <c r="AU20" s="22">
        <f>IF($A20="","",COUNTIF('契約'!$C$4:$C$200,$A20))</f>
        <v/>
      </c>
      <c r="AV20" s="22">
        <f>IF($A20="","",COUNTIFS('契約'!$C$4:$C$200,$A20,'契約'!$O$4:$O$200,"移管"))</f>
        <v/>
      </c>
      <c r="AW20" s="22">
        <f>IF($A20="","",COUNTIFS('契約'!$C$4:$C$200,$A20,'契約'!$O$4:$O$200,"一部"))</f>
        <v/>
      </c>
      <c r="AX20" s="22">
        <f>IF($A20="","",COUNTIFS('契約'!$C$4:$C$200,$A20,'契約'!$O$4:$O$200,"判定保留"))</f>
        <v/>
      </c>
      <c r="AY20" s="22">
        <f>IF($A20="","",COUNTIFS('契約'!$C$4:$C$200,$A20,'契約'!$O$4:$O$200,"留保"))</f>
        <v/>
      </c>
    </row>
    <row r="21">
      <c r="A21" s="17" t="n"/>
      <c r="B21" s="17" t="n"/>
      <c r="C21" s="17" t="n"/>
      <c r="D21" s="17" t="n"/>
      <c r="E21" s="17" t="n"/>
      <c r="F21" s="17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9">
        <f>IF(COUNT(G21:R21)=0,"",SUM(G21:R21))</f>
        <v/>
      </c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9">
        <f>IF(COUNT(T21:AE21)=0,"",SUM(T21:AE21))</f>
        <v/>
      </c>
      <c r="AG21" s="17" t="n"/>
      <c r="AH21" s="17" t="n"/>
      <c r="AI21" s="17" t="n"/>
      <c r="AJ21" s="17" t="n"/>
      <c r="AK21" s="17" t="n"/>
      <c r="AL21" s="22">
        <f>IF($A21="","",IF(OR(AM21="移管",AN21="移管"),"移管",IF(OR(AM21="一部",AN21="一部"),"一部",IF(OR(AM21="判定保留",AN21="判定保留"),"判定保留",IF(OR(AM21="留保",AN21="留保"),"留保","対象外")))))</f>
        <v/>
      </c>
      <c r="AM21" s="22">
        <f>IF($A21="","",IF(AU21=0,"対象外",IF(AV21=AU21,"移管",IF(AV21+AW21&gt;0,"一部",IF(AX21&gt;0,"判定保留",IF(AY21&gt;0,"留保","対象外"))))))</f>
        <v/>
      </c>
      <c r="AN21" s="22">
        <f>IF($A21="","",IF((AO21+AS21+AT21)=0,"対象外",IF(AP21=(AO21+AS21+AT21),"移管",IF(AP21&gt;0,"一部",IF(AR21+AT21&gt;0,"判定保留",IF(AQ21+AS21&gt;0,"留保","対象外"))))))</f>
        <v/>
      </c>
      <c r="AO21" s="22">
        <f>IF($A21="","",SUMPRODUCT((COUNTIFS('紐付け'!$A$4:$A$200,$A21,'紐付け'!$C$4:$C$200,'業務'!$C$4:$C$200)&gt;0)*('業務'!$A$4:$A$200&lt;&gt;"")))</f>
        <v/>
      </c>
      <c r="AP21" s="22">
        <f>IF($A21="","",SUMPRODUCT((COUNTIFS('紐付け'!$A$4:$A$200,$A21,'紐付け'!$C$4:$C$200,'業務'!$C$4:$C$200)&gt;0)*('業務'!$A$4:$A$200&lt;&gt;"")*('業務'!$P$4:$P$200="移管")))</f>
        <v/>
      </c>
      <c r="AQ21" s="22">
        <f>IF($A21="","",SUMPRODUCT((COUNTIFS('紐付け'!$A$4:$A$200,$A21,'紐付け'!$C$4:$C$200,'業務'!$C$4:$C$200)&gt;0)*('業務'!$A$4:$A$200&lt;&gt;"")*('業務'!$P$4:$P$200="留保")))</f>
        <v/>
      </c>
      <c r="AR21" s="22">
        <f>IF($A21="","",AO21-AP21-AQ21)</f>
        <v/>
      </c>
      <c r="AS21" s="22">
        <f>IF($A21="","",SUMPRODUCT(('紐付け'!$A$4:$A$200=$A21)*('紐付け'!$C$4:$C$200&lt;&gt;"")*(COUNTIF('業務'!$C$4:$C$200,'紐付け'!$C$4:$C$200)=0)*(COUNTIFS('システム'!$A$4:$A$200,'紐付け'!$C$4:$C$200,'システム'!$N$4:$N$200,"留保")&gt;0)))</f>
        <v/>
      </c>
      <c r="AT21" s="22">
        <f>IF($A21="","",SUMPRODUCT(('紐付け'!$A$4:$A$200=$A21)*('紐付け'!$C$4:$C$200&lt;&gt;"")*(COUNTIF('業務'!$C$4:$C$200,'紐付け'!$C$4:$C$200)=0))-AS21)</f>
        <v/>
      </c>
      <c r="AU21" s="22">
        <f>IF($A21="","",COUNTIF('契約'!$C$4:$C$200,$A21))</f>
        <v/>
      </c>
      <c r="AV21" s="22">
        <f>IF($A21="","",COUNTIFS('契約'!$C$4:$C$200,$A21,'契約'!$O$4:$O$200,"移管"))</f>
        <v/>
      </c>
      <c r="AW21" s="22">
        <f>IF($A21="","",COUNTIFS('契約'!$C$4:$C$200,$A21,'契約'!$O$4:$O$200,"一部"))</f>
        <v/>
      </c>
      <c r="AX21" s="22">
        <f>IF($A21="","",COUNTIFS('契約'!$C$4:$C$200,$A21,'契約'!$O$4:$O$200,"判定保留"))</f>
        <v/>
      </c>
      <c r="AY21" s="22">
        <f>IF($A21="","",COUNTIFS('契約'!$C$4:$C$200,$A21,'契約'!$O$4:$O$200,"留保"))</f>
        <v/>
      </c>
    </row>
    <row r="22">
      <c r="A22" s="17" t="n"/>
      <c r="B22" s="17" t="n"/>
      <c r="C22" s="17" t="n"/>
      <c r="D22" s="17" t="n"/>
      <c r="E22" s="17" t="n"/>
      <c r="F22" s="17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9">
        <f>IF(COUNT(G22:R22)=0,"",SUM(G22:R22))</f>
        <v/>
      </c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9">
        <f>IF(COUNT(T22:AE22)=0,"",SUM(T22:AE22))</f>
        <v/>
      </c>
      <c r="AG22" s="17" t="n"/>
      <c r="AH22" s="17" t="n"/>
      <c r="AI22" s="17" t="n"/>
      <c r="AJ22" s="17" t="n"/>
      <c r="AK22" s="17" t="n"/>
      <c r="AL22" s="22">
        <f>IF($A22="","",IF(OR(AM22="移管",AN22="移管"),"移管",IF(OR(AM22="一部",AN22="一部"),"一部",IF(OR(AM22="判定保留",AN22="判定保留"),"判定保留",IF(OR(AM22="留保",AN22="留保"),"留保","対象外")))))</f>
        <v/>
      </c>
      <c r="AM22" s="22">
        <f>IF($A22="","",IF(AU22=0,"対象外",IF(AV22=AU22,"移管",IF(AV22+AW22&gt;0,"一部",IF(AX22&gt;0,"判定保留",IF(AY22&gt;0,"留保","対象外"))))))</f>
        <v/>
      </c>
      <c r="AN22" s="22">
        <f>IF($A22="","",IF((AO22+AS22+AT22)=0,"対象外",IF(AP22=(AO22+AS22+AT22),"移管",IF(AP22&gt;0,"一部",IF(AR22+AT22&gt;0,"判定保留",IF(AQ22+AS22&gt;0,"留保","対象外"))))))</f>
        <v/>
      </c>
      <c r="AO22" s="22">
        <f>IF($A22="","",SUMPRODUCT((COUNTIFS('紐付け'!$A$4:$A$200,$A22,'紐付け'!$C$4:$C$200,'業務'!$C$4:$C$200)&gt;0)*('業務'!$A$4:$A$200&lt;&gt;"")))</f>
        <v/>
      </c>
      <c r="AP22" s="22">
        <f>IF($A22="","",SUMPRODUCT((COUNTIFS('紐付け'!$A$4:$A$200,$A22,'紐付け'!$C$4:$C$200,'業務'!$C$4:$C$200)&gt;0)*('業務'!$A$4:$A$200&lt;&gt;"")*('業務'!$P$4:$P$200="移管")))</f>
        <v/>
      </c>
      <c r="AQ22" s="22">
        <f>IF($A22="","",SUMPRODUCT((COUNTIFS('紐付け'!$A$4:$A$200,$A22,'紐付け'!$C$4:$C$200,'業務'!$C$4:$C$200)&gt;0)*('業務'!$A$4:$A$200&lt;&gt;"")*('業務'!$P$4:$P$200="留保")))</f>
        <v/>
      </c>
      <c r="AR22" s="22">
        <f>IF($A22="","",AO22-AP22-AQ22)</f>
        <v/>
      </c>
      <c r="AS22" s="22">
        <f>IF($A22="","",SUMPRODUCT(('紐付け'!$A$4:$A$200=$A22)*('紐付け'!$C$4:$C$200&lt;&gt;"")*(COUNTIF('業務'!$C$4:$C$200,'紐付け'!$C$4:$C$200)=0)*(COUNTIFS('システム'!$A$4:$A$200,'紐付け'!$C$4:$C$200,'システム'!$N$4:$N$200,"留保")&gt;0)))</f>
        <v/>
      </c>
      <c r="AT22" s="22">
        <f>IF($A22="","",SUMPRODUCT(('紐付け'!$A$4:$A$200=$A22)*('紐付け'!$C$4:$C$200&lt;&gt;"")*(COUNTIF('業務'!$C$4:$C$200,'紐付け'!$C$4:$C$200)=0))-AS22)</f>
        <v/>
      </c>
      <c r="AU22" s="22">
        <f>IF($A22="","",COUNTIF('契約'!$C$4:$C$200,$A22))</f>
        <v/>
      </c>
      <c r="AV22" s="22">
        <f>IF($A22="","",COUNTIFS('契約'!$C$4:$C$200,$A22,'契約'!$O$4:$O$200,"移管"))</f>
        <v/>
      </c>
      <c r="AW22" s="22">
        <f>IF($A22="","",COUNTIFS('契約'!$C$4:$C$200,$A22,'契約'!$O$4:$O$200,"一部"))</f>
        <v/>
      </c>
      <c r="AX22" s="22">
        <f>IF($A22="","",COUNTIFS('契約'!$C$4:$C$200,$A22,'契約'!$O$4:$O$200,"判定保留"))</f>
        <v/>
      </c>
      <c r="AY22" s="22">
        <f>IF($A22="","",COUNTIFS('契約'!$C$4:$C$200,$A22,'契約'!$O$4:$O$200,"留保"))</f>
        <v/>
      </c>
    </row>
    <row r="23">
      <c r="A23" s="17" t="n"/>
      <c r="B23" s="17" t="n"/>
      <c r="C23" s="17" t="n"/>
      <c r="D23" s="17" t="n"/>
      <c r="E23" s="17" t="n"/>
      <c r="F23" s="17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9">
        <f>IF(COUNT(G23:R23)=0,"",SUM(G23:R23))</f>
        <v/>
      </c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9">
        <f>IF(COUNT(T23:AE23)=0,"",SUM(T23:AE23))</f>
        <v/>
      </c>
      <c r="AG23" s="17" t="n"/>
      <c r="AH23" s="17" t="n"/>
      <c r="AI23" s="17" t="n"/>
      <c r="AJ23" s="17" t="n"/>
      <c r="AK23" s="17" t="n"/>
      <c r="AL23" s="22">
        <f>IF($A23="","",IF(OR(AM23="移管",AN23="移管"),"移管",IF(OR(AM23="一部",AN23="一部"),"一部",IF(OR(AM23="判定保留",AN23="判定保留"),"判定保留",IF(OR(AM23="留保",AN23="留保"),"留保","対象外")))))</f>
        <v/>
      </c>
      <c r="AM23" s="22">
        <f>IF($A23="","",IF(AU23=0,"対象外",IF(AV23=AU23,"移管",IF(AV23+AW23&gt;0,"一部",IF(AX23&gt;0,"判定保留",IF(AY23&gt;0,"留保","対象外"))))))</f>
        <v/>
      </c>
      <c r="AN23" s="22">
        <f>IF($A23="","",IF((AO23+AS23+AT23)=0,"対象外",IF(AP23=(AO23+AS23+AT23),"移管",IF(AP23&gt;0,"一部",IF(AR23+AT23&gt;0,"判定保留",IF(AQ23+AS23&gt;0,"留保","対象外"))))))</f>
        <v/>
      </c>
      <c r="AO23" s="22">
        <f>IF($A23="","",SUMPRODUCT((COUNTIFS('紐付け'!$A$4:$A$200,$A23,'紐付け'!$C$4:$C$200,'業務'!$C$4:$C$200)&gt;0)*('業務'!$A$4:$A$200&lt;&gt;"")))</f>
        <v/>
      </c>
      <c r="AP23" s="22">
        <f>IF($A23="","",SUMPRODUCT((COUNTIFS('紐付け'!$A$4:$A$200,$A23,'紐付け'!$C$4:$C$200,'業務'!$C$4:$C$200)&gt;0)*('業務'!$A$4:$A$200&lt;&gt;"")*('業務'!$P$4:$P$200="移管")))</f>
        <v/>
      </c>
      <c r="AQ23" s="22">
        <f>IF($A23="","",SUMPRODUCT((COUNTIFS('紐付け'!$A$4:$A$200,$A23,'紐付け'!$C$4:$C$200,'業務'!$C$4:$C$200)&gt;0)*('業務'!$A$4:$A$200&lt;&gt;"")*('業務'!$P$4:$P$200="留保")))</f>
        <v/>
      </c>
      <c r="AR23" s="22">
        <f>IF($A23="","",AO23-AP23-AQ23)</f>
        <v/>
      </c>
      <c r="AS23" s="22">
        <f>IF($A23="","",SUMPRODUCT(('紐付け'!$A$4:$A$200=$A23)*('紐付け'!$C$4:$C$200&lt;&gt;"")*(COUNTIF('業務'!$C$4:$C$200,'紐付け'!$C$4:$C$200)=0)*(COUNTIFS('システム'!$A$4:$A$200,'紐付け'!$C$4:$C$200,'システム'!$N$4:$N$200,"留保")&gt;0)))</f>
        <v/>
      </c>
      <c r="AT23" s="22">
        <f>IF($A23="","",SUMPRODUCT(('紐付け'!$A$4:$A$200=$A23)*('紐付け'!$C$4:$C$200&lt;&gt;"")*(COUNTIF('業務'!$C$4:$C$200,'紐付け'!$C$4:$C$200)=0))-AS23)</f>
        <v/>
      </c>
      <c r="AU23" s="22">
        <f>IF($A23="","",COUNTIF('契約'!$C$4:$C$200,$A23))</f>
        <v/>
      </c>
      <c r="AV23" s="22">
        <f>IF($A23="","",COUNTIFS('契約'!$C$4:$C$200,$A23,'契約'!$O$4:$O$200,"移管"))</f>
        <v/>
      </c>
      <c r="AW23" s="22">
        <f>IF($A23="","",COUNTIFS('契約'!$C$4:$C$200,$A23,'契約'!$O$4:$O$200,"一部"))</f>
        <v/>
      </c>
      <c r="AX23" s="22">
        <f>IF($A23="","",COUNTIFS('契約'!$C$4:$C$200,$A23,'契約'!$O$4:$O$200,"判定保留"))</f>
        <v/>
      </c>
      <c r="AY23" s="22">
        <f>IF($A23="","",COUNTIFS('契約'!$C$4:$C$200,$A23,'契約'!$O$4:$O$200,"留保"))</f>
        <v/>
      </c>
    </row>
    <row r="24">
      <c r="A24" s="17" t="n"/>
      <c r="B24" s="17" t="n"/>
      <c r="C24" s="17" t="n"/>
      <c r="D24" s="17" t="n"/>
      <c r="E24" s="17" t="n"/>
      <c r="F24" s="17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9">
        <f>IF(COUNT(G24:R24)=0,"",SUM(G24:R24))</f>
        <v/>
      </c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9">
        <f>IF(COUNT(T24:AE24)=0,"",SUM(T24:AE24))</f>
        <v/>
      </c>
      <c r="AG24" s="17" t="n"/>
      <c r="AH24" s="17" t="n"/>
      <c r="AI24" s="17" t="n"/>
      <c r="AJ24" s="17" t="n"/>
      <c r="AK24" s="17" t="n"/>
      <c r="AL24" s="22">
        <f>IF($A24="","",IF(OR(AM24="移管",AN24="移管"),"移管",IF(OR(AM24="一部",AN24="一部"),"一部",IF(OR(AM24="判定保留",AN24="判定保留"),"判定保留",IF(OR(AM24="留保",AN24="留保"),"留保","対象外")))))</f>
        <v/>
      </c>
      <c r="AM24" s="22">
        <f>IF($A24="","",IF(AU24=0,"対象外",IF(AV24=AU24,"移管",IF(AV24+AW24&gt;0,"一部",IF(AX24&gt;0,"判定保留",IF(AY24&gt;0,"留保","対象外"))))))</f>
        <v/>
      </c>
      <c r="AN24" s="22">
        <f>IF($A24="","",IF((AO24+AS24+AT24)=0,"対象外",IF(AP24=(AO24+AS24+AT24),"移管",IF(AP24&gt;0,"一部",IF(AR24+AT24&gt;0,"判定保留",IF(AQ24+AS24&gt;0,"留保","対象外"))))))</f>
        <v/>
      </c>
      <c r="AO24" s="22">
        <f>IF($A24="","",SUMPRODUCT((COUNTIFS('紐付け'!$A$4:$A$200,$A24,'紐付け'!$C$4:$C$200,'業務'!$C$4:$C$200)&gt;0)*('業務'!$A$4:$A$200&lt;&gt;"")))</f>
        <v/>
      </c>
      <c r="AP24" s="22">
        <f>IF($A24="","",SUMPRODUCT((COUNTIFS('紐付け'!$A$4:$A$200,$A24,'紐付け'!$C$4:$C$200,'業務'!$C$4:$C$200)&gt;0)*('業務'!$A$4:$A$200&lt;&gt;"")*('業務'!$P$4:$P$200="移管")))</f>
        <v/>
      </c>
      <c r="AQ24" s="22">
        <f>IF($A24="","",SUMPRODUCT((COUNTIFS('紐付け'!$A$4:$A$200,$A24,'紐付け'!$C$4:$C$200,'業務'!$C$4:$C$200)&gt;0)*('業務'!$A$4:$A$200&lt;&gt;"")*('業務'!$P$4:$P$200="留保")))</f>
        <v/>
      </c>
      <c r="AR24" s="22">
        <f>IF($A24="","",AO24-AP24-AQ24)</f>
        <v/>
      </c>
      <c r="AS24" s="22">
        <f>IF($A24="","",SUMPRODUCT(('紐付け'!$A$4:$A$200=$A24)*('紐付け'!$C$4:$C$200&lt;&gt;"")*(COUNTIF('業務'!$C$4:$C$200,'紐付け'!$C$4:$C$200)=0)*(COUNTIFS('システム'!$A$4:$A$200,'紐付け'!$C$4:$C$200,'システム'!$N$4:$N$200,"留保")&gt;0)))</f>
        <v/>
      </c>
      <c r="AT24" s="22">
        <f>IF($A24="","",SUMPRODUCT(('紐付け'!$A$4:$A$200=$A24)*('紐付け'!$C$4:$C$200&lt;&gt;"")*(COUNTIF('業務'!$C$4:$C$200,'紐付け'!$C$4:$C$200)=0))-AS24)</f>
        <v/>
      </c>
      <c r="AU24" s="22">
        <f>IF($A24="","",COUNTIF('契約'!$C$4:$C$200,$A24))</f>
        <v/>
      </c>
      <c r="AV24" s="22">
        <f>IF($A24="","",COUNTIFS('契約'!$C$4:$C$200,$A24,'契約'!$O$4:$O$200,"移管"))</f>
        <v/>
      </c>
      <c r="AW24" s="22">
        <f>IF($A24="","",COUNTIFS('契約'!$C$4:$C$200,$A24,'契約'!$O$4:$O$200,"一部"))</f>
        <v/>
      </c>
      <c r="AX24" s="22">
        <f>IF($A24="","",COUNTIFS('契約'!$C$4:$C$200,$A24,'契約'!$O$4:$O$200,"判定保留"))</f>
        <v/>
      </c>
      <c r="AY24" s="22">
        <f>IF($A24="","",COUNTIFS('契約'!$C$4:$C$200,$A24,'契約'!$O$4:$O$200,"留保"))</f>
        <v/>
      </c>
    </row>
    <row r="25">
      <c r="A25" s="17" t="n"/>
      <c r="B25" s="17" t="n"/>
      <c r="C25" s="17" t="n"/>
      <c r="D25" s="17" t="n"/>
      <c r="E25" s="17" t="n"/>
      <c r="F25" s="17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9">
        <f>IF(COUNT(G25:R25)=0,"",SUM(G25:R25))</f>
        <v/>
      </c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9">
        <f>IF(COUNT(T25:AE25)=0,"",SUM(T25:AE25))</f>
        <v/>
      </c>
      <c r="AG25" s="17" t="n"/>
      <c r="AH25" s="17" t="n"/>
      <c r="AI25" s="17" t="n"/>
      <c r="AJ25" s="17" t="n"/>
      <c r="AK25" s="17" t="n"/>
      <c r="AL25" s="22">
        <f>IF($A25="","",IF(OR(AM25="移管",AN25="移管"),"移管",IF(OR(AM25="一部",AN25="一部"),"一部",IF(OR(AM25="判定保留",AN25="判定保留"),"判定保留",IF(OR(AM25="留保",AN25="留保"),"留保","対象外")))))</f>
        <v/>
      </c>
      <c r="AM25" s="22">
        <f>IF($A25="","",IF(AU25=0,"対象外",IF(AV25=AU25,"移管",IF(AV25+AW25&gt;0,"一部",IF(AX25&gt;0,"判定保留",IF(AY25&gt;0,"留保","対象外"))))))</f>
        <v/>
      </c>
      <c r="AN25" s="22">
        <f>IF($A25="","",IF((AO25+AS25+AT25)=0,"対象外",IF(AP25=(AO25+AS25+AT25),"移管",IF(AP25&gt;0,"一部",IF(AR25+AT25&gt;0,"判定保留",IF(AQ25+AS25&gt;0,"留保","対象外"))))))</f>
        <v/>
      </c>
      <c r="AO25" s="22">
        <f>IF($A25="","",SUMPRODUCT((COUNTIFS('紐付け'!$A$4:$A$200,$A25,'紐付け'!$C$4:$C$200,'業務'!$C$4:$C$200)&gt;0)*('業務'!$A$4:$A$200&lt;&gt;"")))</f>
        <v/>
      </c>
      <c r="AP25" s="22">
        <f>IF($A25="","",SUMPRODUCT((COUNTIFS('紐付け'!$A$4:$A$200,$A25,'紐付け'!$C$4:$C$200,'業務'!$C$4:$C$200)&gt;0)*('業務'!$A$4:$A$200&lt;&gt;"")*('業務'!$P$4:$P$200="移管")))</f>
        <v/>
      </c>
      <c r="AQ25" s="22">
        <f>IF($A25="","",SUMPRODUCT((COUNTIFS('紐付け'!$A$4:$A$200,$A25,'紐付け'!$C$4:$C$200,'業務'!$C$4:$C$200)&gt;0)*('業務'!$A$4:$A$200&lt;&gt;"")*('業務'!$P$4:$P$200="留保")))</f>
        <v/>
      </c>
      <c r="AR25" s="22">
        <f>IF($A25="","",AO25-AP25-AQ25)</f>
        <v/>
      </c>
      <c r="AS25" s="22">
        <f>IF($A25="","",SUMPRODUCT(('紐付け'!$A$4:$A$200=$A25)*('紐付け'!$C$4:$C$200&lt;&gt;"")*(COUNTIF('業務'!$C$4:$C$200,'紐付け'!$C$4:$C$200)=0)*(COUNTIFS('システム'!$A$4:$A$200,'紐付け'!$C$4:$C$200,'システム'!$N$4:$N$200,"留保")&gt;0)))</f>
        <v/>
      </c>
      <c r="AT25" s="22">
        <f>IF($A25="","",SUMPRODUCT(('紐付け'!$A$4:$A$200=$A25)*('紐付け'!$C$4:$C$200&lt;&gt;"")*(COUNTIF('業務'!$C$4:$C$200,'紐付け'!$C$4:$C$200)=0))-AS25)</f>
        <v/>
      </c>
      <c r="AU25" s="22">
        <f>IF($A25="","",COUNTIF('契約'!$C$4:$C$200,$A25))</f>
        <v/>
      </c>
      <c r="AV25" s="22">
        <f>IF($A25="","",COUNTIFS('契約'!$C$4:$C$200,$A25,'契約'!$O$4:$O$200,"移管"))</f>
        <v/>
      </c>
      <c r="AW25" s="22">
        <f>IF($A25="","",COUNTIFS('契約'!$C$4:$C$200,$A25,'契約'!$O$4:$O$200,"一部"))</f>
        <v/>
      </c>
      <c r="AX25" s="22">
        <f>IF($A25="","",COUNTIFS('契約'!$C$4:$C$200,$A25,'契約'!$O$4:$O$200,"判定保留"))</f>
        <v/>
      </c>
      <c r="AY25" s="22">
        <f>IF($A25="","",COUNTIFS('契約'!$C$4:$C$200,$A25,'契約'!$O$4:$O$200,"留保"))</f>
        <v/>
      </c>
    </row>
    <row r="26">
      <c r="A26" s="17" t="n"/>
      <c r="B26" s="17" t="n"/>
      <c r="C26" s="17" t="n"/>
      <c r="D26" s="17" t="n"/>
      <c r="E26" s="17" t="n"/>
      <c r="F26" s="17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9">
        <f>IF(COUNT(G26:R26)=0,"",SUM(G26:R26))</f>
        <v/>
      </c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9">
        <f>IF(COUNT(T26:AE26)=0,"",SUM(T26:AE26))</f>
        <v/>
      </c>
      <c r="AG26" s="17" t="n"/>
      <c r="AH26" s="17" t="n"/>
      <c r="AI26" s="17" t="n"/>
      <c r="AJ26" s="17" t="n"/>
      <c r="AK26" s="17" t="n"/>
      <c r="AL26" s="22">
        <f>IF($A26="","",IF(OR(AM26="移管",AN26="移管"),"移管",IF(OR(AM26="一部",AN26="一部"),"一部",IF(OR(AM26="判定保留",AN26="判定保留"),"判定保留",IF(OR(AM26="留保",AN26="留保"),"留保","対象外")))))</f>
        <v/>
      </c>
      <c r="AM26" s="22">
        <f>IF($A26="","",IF(AU26=0,"対象外",IF(AV26=AU26,"移管",IF(AV26+AW26&gt;0,"一部",IF(AX26&gt;0,"判定保留",IF(AY26&gt;0,"留保","対象外"))))))</f>
        <v/>
      </c>
      <c r="AN26" s="22">
        <f>IF($A26="","",IF((AO26+AS26+AT26)=0,"対象外",IF(AP26=(AO26+AS26+AT26),"移管",IF(AP26&gt;0,"一部",IF(AR26+AT26&gt;0,"判定保留",IF(AQ26+AS26&gt;0,"留保","対象外"))))))</f>
        <v/>
      </c>
      <c r="AO26" s="22">
        <f>IF($A26="","",SUMPRODUCT((COUNTIFS('紐付け'!$A$4:$A$200,$A26,'紐付け'!$C$4:$C$200,'業務'!$C$4:$C$200)&gt;0)*('業務'!$A$4:$A$200&lt;&gt;"")))</f>
        <v/>
      </c>
      <c r="AP26" s="22">
        <f>IF($A26="","",SUMPRODUCT((COUNTIFS('紐付け'!$A$4:$A$200,$A26,'紐付け'!$C$4:$C$200,'業務'!$C$4:$C$200)&gt;0)*('業務'!$A$4:$A$200&lt;&gt;"")*('業務'!$P$4:$P$200="移管")))</f>
        <v/>
      </c>
      <c r="AQ26" s="22">
        <f>IF($A26="","",SUMPRODUCT((COUNTIFS('紐付け'!$A$4:$A$200,$A26,'紐付け'!$C$4:$C$200,'業務'!$C$4:$C$200)&gt;0)*('業務'!$A$4:$A$200&lt;&gt;"")*('業務'!$P$4:$P$200="留保")))</f>
        <v/>
      </c>
      <c r="AR26" s="22">
        <f>IF($A26="","",AO26-AP26-AQ26)</f>
        <v/>
      </c>
      <c r="AS26" s="22">
        <f>IF($A26="","",SUMPRODUCT(('紐付け'!$A$4:$A$200=$A26)*('紐付け'!$C$4:$C$200&lt;&gt;"")*(COUNTIF('業務'!$C$4:$C$200,'紐付け'!$C$4:$C$200)=0)*(COUNTIFS('システム'!$A$4:$A$200,'紐付け'!$C$4:$C$200,'システム'!$N$4:$N$200,"留保")&gt;0)))</f>
        <v/>
      </c>
      <c r="AT26" s="22">
        <f>IF($A26="","",SUMPRODUCT(('紐付け'!$A$4:$A$200=$A26)*('紐付け'!$C$4:$C$200&lt;&gt;"")*(COUNTIF('業務'!$C$4:$C$200,'紐付け'!$C$4:$C$200)=0))-AS26)</f>
        <v/>
      </c>
      <c r="AU26" s="22">
        <f>IF($A26="","",COUNTIF('契約'!$C$4:$C$200,$A26))</f>
        <v/>
      </c>
      <c r="AV26" s="22">
        <f>IF($A26="","",COUNTIFS('契約'!$C$4:$C$200,$A26,'契約'!$O$4:$O$200,"移管"))</f>
        <v/>
      </c>
      <c r="AW26" s="22">
        <f>IF($A26="","",COUNTIFS('契約'!$C$4:$C$200,$A26,'契約'!$O$4:$O$200,"一部"))</f>
        <v/>
      </c>
      <c r="AX26" s="22">
        <f>IF($A26="","",COUNTIFS('契約'!$C$4:$C$200,$A26,'契約'!$O$4:$O$200,"判定保留"))</f>
        <v/>
      </c>
      <c r="AY26" s="22">
        <f>IF($A26="","",COUNTIFS('契約'!$C$4:$C$200,$A26,'契約'!$O$4:$O$200,"留保"))</f>
        <v/>
      </c>
    </row>
    <row r="27">
      <c r="A27" s="17" t="n"/>
      <c r="B27" s="17" t="n"/>
      <c r="C27" s="17" t="n"/>
      <c r="D27" s="17" t="n"/>
      <c r="E27" s="17" t="n"/>
      <c r="F27" s="17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9">
        <f>IF(COUNT(G27:R27)=0,"",SUM(G27:R27))</f>
        <v/>
      </c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9">
        <f>IF(COUNT(T27:AE27)=0,"",SUM(T27:AE27))</f>
        <v/>
      </c>
      <c r="AG27" s="17" t="n"/>
      <c r="AH27" s="17" t="n"/>
      <c r="AI27" s="17" t="n"/>
      <c r="AJ27" s="17" t="n"/>
      <c r="AK27" s="17" t="n"/>
      <c r="AL27" s="22">
        <f>IF($A27="","",IF(OR(AM27="移管",AN27="移管"),"移管",IF(OR(AM27="一部",AN27="一部"),"一部",IF(OR(AM27="判定保留",AN27="判定保留"),"判定保留",IF(OR(AM27="留保",AN27="留保"),"留保","対象外")))))</f>
        <v/>
      </c>
      <c r="AM27" s="22">
        <f>IF($A27="","",IF(AU27=0,"対象外",IF(AV27=AU27,"移管",IF(AV27+AW27&gt;0,"一部",IF(AX27&gt;0,"判定保留",IF(AY27&gt;0,"留保","対象外"))))))</f>
        <v/>
      </c>
      <c r="AN27" s="22">
        <f>IF($A27="","",IF((AO27+AS27+AT27)=0,"対象外",IF(AP27=(AO27+AS27+AT27),"移管",IF(AP27&gt;0,"一部",IF(AR27+AT27&gt;0,"判定保留",IF(AQ27+AS27&gt;0,"留保","対象外"))))))</f>
        <v/>
      </c>
      <c r="AO27" s="22">
        <f>IF($A27="","",SUMPRODUCT((COUNTIFS('紐付け'!$A$4:$A$200,$A27,'紐付け'!$C$4:$C$200,'業務'!$C$4:$C$200)&gt;0)*('業務'!$A$4:$A$200&lt;&gt;"")))</f>
        <v/>
      </c>
      <c r="AP27" s="22">
        <f>IF($A27="","",SUMPRODUCT((COUNTIFS('紐付け'!$A$4:$A$200,$A27,'紐付け'!$C$4:$C$200,'業務'!$C$4:$C$200)&gt;0)*('業務'!$A$4:$A$200&lt;&gt;"")*('業務'!$P$4:$P$200="移管")))</f>
        <v/>
      </c>
      <c r="AQ27" s="22">
        <f>IF($A27="","",SUMPRODUCT((COUNTIFS('紐付け'!$A$4:$A$200,$A27,'紐付け'!$C$4:$C$200,'業務'!$C$4:$C$200)&gt;0)*('業務'!$A$4:$A$200&lt;&gt;"")*('業務'!$P$4:$P$200="留保")))</f>
        <v/>
      </c>
      <c r="AR27" s="22">
        <f>IF($A27="","",AO27-AP27-AQ27)</f>
        <v/>
      </c>
      <c r="AS27" s="22">
        <f>IF($A27="","",SUMPRODUCT(('紐付け'!$A$4:$A$200=$A27)*('紐付け'!$C$4:$C$200&lt;&gt;"")*(COUNTIF('業務'!$C$4:$C$200,'紐付け'!$C$4:$C$200)=0)*(COUNTIFS('システム'!$A$4:$A$200,'紐付け'!$C$4:$C$200,'システム'!$N$4:$N$200,"留保")&gt;0)))</f>
        <v/>
      </c>
      <c r="AT27" s="22">
        <f>IF($A27="","",SUMPRODUCT(('紐付け'!$A$4:$A$200=$A27)*('紐付け'!$C$4:$C$200&lt;&gt;"")*(COUNTIF('業務'!$C$4:$C$200,'紐付け'!$C$4:$C$200)=0))-AS27)</f>
        <v/>
      </c>
      <c r="AU27" s="22">
        <f>IF($A27="","",COUNTIF('契約'!$C$4:$C$200,$A27))</f>
        <v/>
      </c>
      <c r="AV27" s="22">
        <f>IF($A27="","",COUNTIFS('契約'!$C$4:$C$200,$A27,'契約'!$O$4:$O$200,"移管"))</f>
        <v/>
      </c>
      <c r="AW27" s="22">
        <f>IF($A27="","",COUNTIFS('契約'!$C$4:$C$200,$A27,'契約'!$O$4:$O$200,"一部"))</f>
        <v/>
      </c>
      <c r="AX27" s="22">
        <f>IF($A27="","",COUNTIFS('契約'!$C$4:$C$200,$A27,'契約'!$O$4:$O$200,"判定保留"))</f>
        <v/>
      </c>
      <c r="AY27" s="22">
        <f>IF($A27="","",COUNTIFS('契約'!$C$4:$C$200,$A27,'契約'!$O$4:$O$200,"留保"))</f>
        <v/>
      </c>
    </row>
    <row r="28">
      <c r="A28" s="17" t="n"/>
      <c r="B28" s="17" t="n"/>
      <c r="C28" s="17" t="n"/>
      <c r="D28" s="17" t="n"/>
      <c r="E28" s="17" t="n"/>
      <c r="F28" s="17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9">
        <f>IF(COUNT(G28:R28)=0,"",SUM(G28:R28))</f>
        <v/>
      </c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9">
        <f>IF(COUNT(T28:AE28)=0,"",SUM(T28:AE28))</f>
        <v/>
      </c>
      <c r="AG28" s="17" t="n"/>
      <c r="AH28" s="17" t="n"/>
      <c r="AI28" s="17" t="n"/>
      <c r="AJ28" s="17" t="n"/>
      <c r="AK28" s="17" t="n"/>
      <c r="AL28" s="22">
        <f>IF($A28="","",IF(OR(AM28="移管",AN28="移管"),"移管",IF(OR(AM28="一部",AN28="一部"),"一部",IF(OR(AM28="判定保留",AN28="判定保留"),"判定保留",IF(OR(AM28="留保",AN28="留保"),"留保","対象外")))))</f>
        <v/>
      </c>
      <c r="AM28" s="22">
        <f>IF($A28="","",IF(AU28=0,"対象外",IF(AV28=AU28,"移管",IF(AV28+AW28&gt;0,"一部",IF(AX28&gt;0,"判定保留",IF(AY28&gt;0,"留保","対象外"))))))</f>
        <v/>
      </c>
      <c r="AN28" s="22">
        <f>IF($A28="","",IF((AO28+AS28+AT28)=0,"対象外",IF(AP28=(AO28+AS28+AT28),"移管",IF(AP28&gt;0,"一部",IF(AR28+AT28&gt;0,"判定保留",IF(AQ28+AS28&gt;0,"留保","対象外"))))))</f>
        <v/>
      </c>
      <c r="AO28" s="22">
        <f>IF($A28="","",SUMPRODUCT((COUNTIFS('紐付け'!$A$4:$A$200,$A28,'紐付け'!$C$4:$C$200,'業務'!$C$4:$C$200)&gt;0)*('業務'!$A$4:$A$200&lt;&gt;"")))</f>
        <v/>
      </c>
      <c r="AP28" s="22">
        <f>IF($A28="","",SUMPRODUCT((COUNTIFS('紐付け'!$A$4:$A$200,$A28,'紐付け'!$C$4:$C$200,'業務'!$C$4:$C$200)&gt;0)*('業務'!$A$4:$A$200&lt;&gt;"")*('業務'!$P$4:$P$200="移管")))</f>
        <v/>
      </c>
      <c r="AQ28" s="22">
        <f>IF($A28="","",SUMPRODUCT((COUNTIFS('紐付け'!$A$4:$A$200,$A28,'紐付け'!$C$4:$C$200,'業務'!$C$4:$C$200)&gt;0)*('業務'!$A$4:$A$200&lt;&gt;"")*('業務'!$P$4:$P$200="留保")))</f>
        <v/>
      </c>
      <c r="AR28" s="22">
        <f>IF($A28="","",AO28-AP28-AQ28)</f>
        <v/>
      </c>
      <c r="AS28" s="22">
        <f>IF($A28="","",SUMPRODUCT(('紐付け'!$A$4:$A$200=$A28)*('紐付け'!$C$4:$C$200&lt;&gt;"")*(COUNTIF('業務'!$C$4:$C$200,'紐付け'!$C$4:$C$200)=0)*(COUNTIFS('システム'!$A$4:$A$200,'紐付け'!$C$4:$C$200,'システム'!$N$4:$N$200,"留保")&gt;0)))</f>
        <v/>
      </c>
      <c r="AT28" s="22">
        <f>IF($A28="","",SUMPRODUCT(('紐付け'!$A$4:$A$200=$A28)*('紐付け'!$C$4:$C$200&lt;&gt;"")*(COUNTIF('業務'!$C$4:$C$200,'紐付け'!$C$4:$C$200)=0))-AS28)</f>
        <v/>
      </c>
      <c r="AU28" s="22">
        <f>IF($A28="","",COUNTIF('契約'!$C$4:$C$200,$A28))</f>
        <v/>
      </c>
      <c r="AV28" s="22">
        <f>IF($A28="","",COUNTIFS('契約'!$C$4:$C$200,$A28,'契約'!$O$4:$O$200,"移管"))</f>
        <v/>
      </c>
      <c r="AW28" s="22">
        <f>IF($A28="","",COUNTIFS('契約'!$C$4:$C$200,$A28,'契約'!$O$4:$O$200,"一部"))</f>
        <v/>
      </c>
      <c r="AX28" s="22">
        <f>IF($A28="","",COUNTIFS('契約'!$C$4:$C$200,$A28,'契約'!$O$4:$O$200,"判定保留"))</f>
        <v/>
      </c>
      <c r="AY28" s="22">
        <f>IF($A28="","",COUNTIFS('契約'!$C$4:$C$200,$A28,'契約'!$O$4:$O$200,"留保"))</f>
        <v/>
      </c>
    </row>
    <row r="29">
      <c r="A29" s="17" t="n"/>
      <c r="B29" s="17" t="n"/>
      <c r="C29" s="17" t="n"/>
      <c r="D29" s="17" t="n"/>
      <c r="E29" s="17" t="n"/>
      <c r="F29" s="17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9">
        <f>IF(COUNT(G29:R29)=0,"",SUM(G29:R29))</f>
        <v/>
      </c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9">
        <f>IF(COUNT(T29:AE29)=0,"",SUM(T29:AE29))</f>
        <v/>
      </c>
      <c r="AG29" s="17" t="n"/>
      <c r="AH29" s="17" t="n"/>
      <c r="AI29" s="17" t="n"/>
      <c r="AJ29" s="17" t="n"/>
      <c r="AK29" s="17" t="n"/>
      <c r="AL29" s="22">
        <f>IF($A29="","",IF(OR(AM29="移管",AN29="移管"),"移管",IF(OR(AM29="一部",AN29="一部"),"一部",IF(OR(AM29="判定保留",AN29="判定保留"),"判定保留",IF(OR(AM29="留保",AN29="留保"),"留保","対象外")))))</f>
        <v/>
      </c>
      <c r="AM29" s="22">
        <f>IF($A29="","",IF(AU29=0,"対象外",IF(AV29=AU29,"移管",IF(AV29+AW29&gt;0,"一部",IF(AX29&gt;0,"判定保留",IF(AY29&gt;0,"留保","対象外"))))))</f>
        <v/>
      </c>
      <c r="AN29" s="22">
        <f>IF($A29="","",IF((AO29+AS29+AT29)=0,"対象外",IF(AP29=(AO29+AS29+AT29),"移管",IF(AP29&gt;0,"一部",IF(AR29+AT29&gt;0,"判定保留",IF(AQ29+AS29&gt;0,"留保","対象外"))))))</f>
        <v/>
      </c>
      <c r="AO29" s="22">
        <f>IF($A29="","",SUMPRODUCT((COUNTIFS('紐付け'!$A$4:$A$200,$A29,'紐付け'!$C$4:$C$200,'業務'!$C$4:$C$200)&gt;0)*('業務'!$A$4:$A$200&lt;&gt;"")))</f>
        <v/>
      </c>
      <c r="AP29" s="22">
        <f>IF($A29="","",SUMPRODUCT((COUNTIFS('紐付け'!$A$4:$A$200,$A29,'紐付け'!$C$4:$C$200,'業務'!$C$4:$C$200)&gt;0)*('業務'!$A$4:$A$200&lt;&gt;"")*('業務'!$P$4:$P$200="移管")))</f>
        <v/>
      </c>
      <c r="AQ29" s="22">
        <f>IF($A29="","",SUMPRODUCT((COUNTIFS('紐付け'!$A$4:$A$200,$A29,'紐付け'!$C$4:$C$200,'業務'!$C$4:$C$200)&gt;0)*('業務'!$A$4:$A$200&lt;&gt;"")*('業務'!$P$4:$P$200="留保")))</f>
        <v/>
      </c>
      <c r="AR29" s="22">
        <f>IF($A29="","",AO29-AP29-AQ29)</f>
        <v/>
      </c>
      <c r="AS29" s="22">
        <f>IF($A29="","",SUMPRODUCT(('紐付け'!$A$4:$A$200=$A29)*('紐付け'!$C$4:$C$200&lt;&gt;"")*(COUNTIF('業務'!$C$4:$C$200,'紐付け'!$C$4:$C$200)=0)*(COUNTIFS('システム'!$A$4:$A$200,'紐付け'!$C$4:$C$200,'システム'!$N$4:$N$200,"留保")&gt;0)))</f>
        <v/>
      </c>
      <c r="AT29" s="22">
        <f>IF($A29="","",SUMPRODUCT(('紐付け'!$A$4:$A$200=$A29)*('紐付け'!$C$4:$C$200&lt;&gt;"")*(COUNTIF('業務'!$C$4:$C$200,'紐付け'!$C$4:$C$200)=0))-AS29)</f>
        <v/>
      </c>
      <c r="AU29" s="22">
        <f>IF($A29="","",COUNTIF('契約'!$C$4:$C$200,$A29))</f>
        <v/>
      </c>
      <c r="AV29" s="22">
        <f>IF($A29="","",COUNTIFS('契約'!$C$4:$C$200,$A29,'契約'!$O$4:$O$200,"移管"))</f>
        <v/>
      </c>
      <c r="AW29" s="22">
        <f>IF($A29="","",COUNTIFS('契約'!$C$4:$C$200,$A29,'契約'!$O$4:$O$200,"一部"))</f>
        <v/>
      </c>
      <c r="AX29" s="22">
        <f>IF($A29="","",COUNTIFS('契約'!$C$4:$C$200,$A29,'契約'!$O$4:$O$200,"判定保留"))</f>
        <v/>
      </c>
      <c r="AY29" s="22">
        <f>IF($A29="","",COUNTIFS('契約'!$C$4:$C$200,$A29,'契約'!$O$4:$O$200,"留保"))</f>
        <v/>
      </c>
    </row>
    <row r="30">
      <c r="A30" s="17" t="n"/>
      <c r="B30" s="17" t="n"/>
      <c r="C30" s="17" t="n"/>
      <c r="D30" s="17" t="n"/>
      <c r="E30" s="17" t="n"/>
      <c r="F30" s="17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9">
        <f>IF(COUNT(G30:R30)=0,"",SUM(G30:R30))</f>
        <v/>
      </c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9">
        <f>IF(COUNT(T30:AE30)=0,"",SUM(T30:AE30))</f>
        <v/>
      </c>
      <c r="AG30" s="17" t="n"/>
      <c r="AH30" s="17" t="n"/>
      <c r="AI30" s="17" t="n"/>
      <c r="AJ30" s="17" t="n"/>
      <c r="AK30" s="17" t="n"/>
      <c r="AL30" s="22">
        <f>IF($A30="","",IF(OR(AM30="移管",AN30="移管"),"移管",IF(OR(AM30="一部",AN30="一部"),"一部",IF(OR(AM30="判定保留",AN30="判定保留"),"判定保留",IF(OR(AM30="留保",AN30="留保"),"留保","対象外")))))</f>
        <v/>
      </c>
      <c r="AM30" s="22">
        <f>IF($A30="","",IF(AU30=0,"対象外",IF(AV30=AU30,"移管",IF(AV30+AW30&gt;0,"一部",IF(AX30&gt;0,"判定保留",IF(AY30&gt;0,"留保","対象外"))))))</f>
        <v/>
      </c>
      <c r="AN30" s="22">
        <f>IF($A30="","",IF((AO30+AS30+AT30)=0,"対象外",IF(AP30=(AO30+AS30+AT30),"移管",IF(AP30&gt;0,"一部",IF(AR30+AT30&gt;0,"判定保留",IF(AQ30+AS30&gt;0,"留保","対象外"))))))</f>
        <v/>
      </c>
      <c r="AO30" s="22">
        <f>IF($A30="","",SUMPRODUCT((COUNTIFS('紐付け'!$A$4:$A$200,$A30,'紐付け'!$C$4:$C$200,'業務'!$C$4:$C$200)&gt;0)*('業務'!$A$4:$A$200&lt;&gt;"")))</f>
        <v/>
      </c>
      <c r="AP30" s="22">
        <f>IF($A30="","",SUMPRODUCT((COUNTIFS('紐付け'!$A$4:$A$200,$A30,'紐付け'!$C$4:$C$200,'業務'!$C$4:$C$200)&gt;0)*('業務'!$A$4:$A$200&lt;&gt;"")*('業務'!$P$4:$P$200="移管")))</f>
        <v/>
      </c>
      <c r="AQ30" s="22">
        <f>IF($A30="","",SUMPRODUCT((COUNTIFS('紐付け'!$A$4:$A$200,$A30,'紐付け'!$C$4:$C$200,'業務'!$C$4:$C$200)&gt;0)*('業務'!$A$4:$A$200&lt;&gt;"")*('業務'!$P$4:$P$200="留保")))</f>
        <v/>
      </c>
      <c r="AR30" s="22">
        <f>IF($A30="","",AO30-AP30-AQ30)</f>
        <v/>
      </c>
      <c r="AS30" s="22">
        <f>IF($A30="","",SUMPRODUCT(('紐付け'!$A$4:$A$200=$A30)*('紐付け'!$C$4:$C$200&lt;&gt;"")*(COUNTIF('業務'!$C$4:$C$200,'紐付け'!$C$4:$C$200)=0)*(COUNTIFS('システム'!$A$4:$A$200,'紐付け'!$C$4:$C$200,'システム'!$N$4:$N$200,"留保")&gt;0)))</f>
        <v/>
      </c>
      <c r="AT30" s="22">
        <f>IF($A30="","",SUMPRODUCT(('紐付け'!$A$4:$A$200=$A30)*('紐付け'!$C$4:$C$200&lt;&gt;"")*(COUNTIF('業務'!$C$4:$C$200,'紐付け'!$C$4:$C$200)=0))-AS30)</f>
        <v/>
      </c>
      <c r="AU30" s="22">
        <f>IF($A30="","",COUNTIF('契約'!$C$4:$C$200,$A30))</f>
        <v/>
      </c>
      <c r="AV30" s="22">
        <f>IF($A30="","",COUNTIFS('契約'!$C$4:$C$200,$A30,'契約'!$O$4:$O$200,"移管"))</f>
        <v/>
      </c>
      <c r="AW30" s="22">
        <f>IF($A30="","",COUNTIFS('契約'!$C$4:$C$200,$A30,'契約'!$O$4:$O$200,"一部"))</f>
        <v/>
      </c>
      <c r="AX30" s="22">
        <f>IF($A30="","",COUNTIFS('契約'!$C$4:$C$200,$A30,'契約'!$O$4:$O$200,"判定保留"))</f>
        <v/>
      </c>
      <c r="AY30" s="22">
        <f>IF($A30="","",COUNTIFS('契約'!$C$4:$C$200,$A30,'契約'!$O$4:$O$200,"留保"))</f>
        <v/>
      </c>
    </row>
    <row r="31">
      <c r="A31" s="17" t="n"/>
      <c r="B31" s="17" t="n"/>
      <c r="C31" s="17" t="n"/>
      <c r="D31" s="17" t="n"/>
      <c r="E31" s="17" t="n"/>
      <c r="F31" s="17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9">
        <f>IF(COUNT(G31:R31)=0,"",SUM(G31:R31))</f>
        <v/>
      </c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9">
        <f>IF(COUNT(T31:AE31)=0,"",SUM(T31:AE31))</f>
        <v/>
      </c>
      <c r="AG31" s="17" t="n"/>
      <c r="AH31" s="17" t="n"/>
      <c r="AI31" s="17" t="n"/>
      <c r="AJ31" s="17" t="n"/>
      <c r="AK31" s="17" t="n"/>
      <c r="AL31" s="22">
        <f>IF($A31="","",IF(OR(AM31="移管",AN31="移管"),"移管",IF(OR(AM31="一部",AN31="一部"),"一部",IF(OR(AM31="判定保留",AN31="判定保留"),"判定保留",IF(OR(AM31="留保",AN31="留保"),"留保","対象外")))))</f>
        <v/>
      </c>
      <c r="AM31" s="22">
        <f>IF($A31="","",IF(AU31=0,"対象外",IF(AV31=AU31,"移管",IF(AV31+AW31&gt;0,"一部",IF(AX31&gt;0,"判定保留",IF(AY31&gt;0,"留保","対象外"))))))</f>
        <v/>
      </c>
      <c r="AN31" s="22">
        <f>IF($A31="","",IF((AO31+AS31+AT31)=0,"対象外",IF(AP31=(AO31+AS31+AT31),"移管",IF(AP31&gt;0,"一部",IF(AR31+AT31&gt;0,"判定保留",IF(AQ31+AS31&gt;0,"留保","対象外"))))))</f>
        <v/>
      </c>
      <c r="AO31" s="22">
        <f>IF($A31="","",SUMPRODUCT((COUNTIFS('紐付け'!$A$4:$A$200,$A31,'紐付け'!$C$4:$C$200,'業務'!$C$4:$C$200)&gt;0)*('業務'!$A$4:$A$200&lt;&gt;"")))</f>
        <v/>
      </c>
      <c r="AP31" s="22">
        <f>IF($A31="","",SUMPRODUCT((COUNTIFS('紐付け'!$A$4:$A$200,$A31,'紐付け'!$C$4:$C$200,'業務'!$C$4:$C$200)&gt;0)*('業務'!$A$4:$A$200&lt;&gt;"")*('業務'!$P$4:$P$200="移管")))</f>
        <v/>
      </c>
      <c r="AQ31" s="22">
        <f>IF($A31="","",SUMPRODUCT((COUNTIFS('紐付け'!$A$4:$A$200,$A31,'紐付け'!$C$4:$C$200,'業務'!$C$4:$C$200)&gt;0)*('業務'!$A$4:$A$200&lt;&gt;"")*('業務'!$P$4:$P$200="留保")))</f>
        <v/>
      </c>
      <c r="AR31" s="22">
        <f>IF($A31="","",AO31-AP31-AQ31)</f>
        <v/>
      </c>
      <c r="AS31" s="22">
        <f>IF($A31="","",SUMPRODUCT(('紐付け'!$A$4:$A$200=$A31)*('紐付け'!$C$4:$C$200&lt;&gt;"")*(COUNTIF('業務'!$C$4:$C$200,'紐付け'!$C$4:$C$200)=0)*(COUNTIFS('システム'!$A$4:$A$200,'紐付け'!$C$4:$C$200,'システム'!$N$4:$N$200,"留保")&gt;0)))</f>
        <v/>
      </c>
      <c r="AT31" s="22">
        <f>IF($A31="","",SUMPRODUCT(('紐付け'!$A$4:$A$200=$A31)*('紐付け'!$C$4:$C$200&lt;&gt;"")*(COUNTIF('業務'!$C$4:$C$200,'紐付け'!$C$4:$C$200)=0))-AS31)</f>
        <v/>
      </c>
      <c r="AU31" s="22">
        <f>IF($A31="","",COUNTIF('契約'!$C$4:$C$200,$A31))</f>
        <v/>
      </c>
      <c r="AV31" s="22">
        <f>IF($A31="","",COUNTIFS('契約'!$C$4:$C$200,$A31,'契約'!$O$4:$O$200,"移管"))</f>
        <v/>
      </c>
      <c r="AW31" s="22">
        <f>IF($A31="","",COUNTIFS('契約'!$C$4:$C$200,$A31,'契約'!$O$4:$O$200,"一部"))</f>
        <v/>
      </c>
      <c r="AX31" s="22">
        <f>IF($A31="","",COUNTIFS('契約'!$C$4:$C$200,$A31,'契約'!$O$4:$O$200,"判定保留"))</f>
        <v/>
      </c>
      <c r="AY31" s="22">
        <f>IF($A31="","",COUNTIFS('契約'!$C$4:$C$200,$A31,'契約'!$O$4:$O$200,"留保"))</f>
        <v/>
      </c>
    </row>
    <row r="32">
      <c r="A32" s="17" t="n"/>
      <c r="B32" s="17" t="n"/>
      <c r="C32" s="17" t="n"/>
      <c r="D32" s="17" t="n"/>
      <c r="E32" s="17" t="n"/>
      <c r="F32" s="17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9">
        <f>IF(COUNT(G32:R32)=0,"",SUM(G32:R32))</f>
        <v/>
      </c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9">
        <f>IF(COUNT(T32:AE32)=0,"",SUM(T32:AE32))</f>
        <v/>
      </c>
      <c r="AG32" s="17" t="n"/>
      <c r="AH32" s="17" t="n"/>
      <c r="AI32" s="17" t="n"/>
      <c r="AJ32" s="17" t="n"/>
      <c r="AK32" s="17" t="n"/>
      <c r="AL32" s="22">
        <f>IF($A32="","",IF(OR(AM32="移管",AN32="移管"),"移管",IF(OR(AM32="一部",AN32="一部"),"一部",IF(OR(AM32="判定保留",AN32="判定保留"),"判定保留",IF(OR(AM32="留保",AN32="留保"),"留保","対象外")))))</f>
        <v/>
      </c>
      <c r="AM32" s="22">
        <f>IF($A32="","",IF(AU32=0,"対象外",IF(AV32=AU32,"移管",IF(AV32+AW32&gt;0,"一部",IF(AX32&gt;0,"判定保留",IF(AY32&gt;0,"留保","対象外"))))))</f>
        <v/>
      </c>
      <c r="AN32" s="22">
        <f>IF($A32="","",IF((AO32+AS32+AT32)=0,"対象外",IF(AP32=(AO32+AS32+AT32),"移管",IF(AP32&gt;0,"一部",IF(AR32+AT32&gt;0,"判定保留",IF(AQ32+AS32&gt;0,"留保","対象外"))))))</f>
        <v/>
      </c>
      <c r="AO32" s="22">
        <f>IF($A32="","",SUMPRODUCT((COUNTIFS('紐付け'!$A$4:$A$200,$A32,'紐付け'!$C$4:$C$200,'業務'!$C$4:$C$200)&gt;0)*('業務'!$A$4:$A$200&lt;&gt;"")))</f>
        <v/>
      </c>
      <c r="AP32" s="22">
        <f>IF($A32="","",SUMPRODUCT((COUNTIFS('紐付け'!$A$4:$A$200,$A32,'紐付け'!$C$4:$C$200,'業務'!$C$4:$C$200)&gt;0)*('業務'!$A$4:$A$200&lt;&gt;"")*('業務'!$P$4:$P$200="移管")))</f>
        <v/>
      </c>
      <c r="AQ32" s="22">
        <f>IF($A32="","",SUMPRODUCT((COUNTIFS('紐付け'!$A$4:$A$200,$A32,'紐付け'!$C$4:$C$200,'業務'!$C$4:$C$200)&gt;0)*('業務'!$A$4:$A$200&lt;&gt;"")*('業務'!$P$4:$P$200="留保")))</f>
        <v/>
      </c>
      <c r="AR32" s="22">
        <f>IF($A32="","",AO32-AP32-AQ32)</f>
        <v/>
      </c>
      <c r="AS32" s="22">
        <f>IF($A32="","",SUMPRODUCT(('紐付け'!$A$4:$A$200=$A32)*('紐付け'!$C$4:$C$200&lt;&gt;"")*(COUNTIF('業務'!$C$4:$C$200,'紐付け'!$C$4:$C$200)=0)*(COUNTIFS('システム'!$A$4:$A$200,'紐付け'!$C$4:$C$200,'システム'!$N$4:$N$200,"留保")&gt;0)))</f>
        <v/>
      </c>
      <c r="AT32" s="22">
        <f>IF($A32="","",SUMPRODUCT(('紐付け'!$A$4:$A$200=$A32)*('紐付け'!$C$4:$C$200&lt;&gt;"")*(COUNTIF('業務'!$C$4:$C$200,'紐付け'!$C$4:$C$200)=0))-AS32)</f>
        <v/>
      </c>
      <c r="AU32" s="22">
        <f>IF($A32="","",COUNTIF('契約'!$C$4:$C$200,$A32))</f>
        <v/>
      </c>
      <c r="AV32" s="22">
        <f>IF($A32="","",COUNTIFS('契約'!$C$4:$C$200,$A32,'契約'!$O$4:$O$200,"移管"))</f>
        <v/>
      </c>
      <c r="AW32" s="22">
        <f>IF($A32="","",COUNTIFS('契約'!$C$4:$C$200,$A32,'契約'!$O$4:$O$200,"一部"))</f>
        <v/>
      </c>
      <c r="AX32" s="22">
        <f>IF($A32="","",COUNTIFS('契約'!$C$4:$C$200,$A32,'契約'!$O$4:$O$200,"判定保留"))</f>
        <v/>
      </c>
      <c r="AY32" s="22">
        <f>IF($A32="","",COUNTIFS('契約'!$C$4:$C$200,$A32,'契約'!$O$4:$O$200,"留保"))</f>
        <v/>
      </c>
    </row>
    <row r="33">
      <c r="A33" s="17" t="n"/>
      <c r="B33" s="17" t="n"/>
      <c r="C33" s="17" t="n"/>
      <c r="D33" s="17" t="n"/>
      <c r="E33" s="17" t="n"/>
      <c r="F33" s="17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9">
        <f>IF(COUNT(G33:R33)=0,"",SUM(G33:R33))</f>
        <v/>
      </c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9">
        <f>IF(COUNT(T33:AE33)=0,"",SUM(T33:AE33))</f>
        <v/>
      </c>
      <c r="AG33" s="17" t="n"/>
      <c r="AH33" s="17" t="n"/>
      <c r="AI33" s="17" t="n"/>
      <c r="AJ33" s="17" t="n"/>
      <c r="AK33" s="17" t="n"/>
      <c r="AL33" s="22">
        <f>IF($A33="","",IF(OR(AM33="移管",AN33="移管"),"移管",IF(OR(AM33="一部",AN33="一部"),"一部",IF(OR(AM33="判定保留",AN33="判定保留"),"判定保留",IF(OR(AM33="留保",AN33="留保"),"留保","対象外")))))</f>
        <v/>
      </c>
      <c r="AM33" s="22">
        <f>IF($A33="","",IF(AU33=0,"対象外",IF(AV33=AU33,"移管",IF(AV33+AW33&gt;0,"一部",IF(AX33&gt;0,"判定保留",IF(AY33&gt;0,"留保","対象外"))))))</f>
        <v/>
      </c>
      <c r="AN33" s="22">
        <f>IF($A33="","",IF((AO33+AS33+AT33)=0,"対象外",IF(AP33=(AO33+AS33+AT33),"移管",IF(AP33&gt;0,"一部",IF(AR33+AT33&gt;0,"判定保留",IF(AQ33+AS33&gt;0,"留保","対象外"))))))</f>
        <v/>
      </c>
      <c r="AO33" s="22">
        <f>IF($A33="","",SUMPRODUCT((COUNTIFS('紐付け'!$A$4:$A$200,$A33,'紐付け'!$C$4:$C$200,'業務'!$C$4:$C$200)&gt;0)*('業務'!$A$4:$A$200&lt;&gt;"")))</f>
        <v/>
      </c>
      <c r="AP33" s="22">
        <f>IF($A33="","",SUMPRODUCT((COUNTIFS('紐付け'!$A$4:$A$200,$A33,'紐付け'!$C$4:$C$200,'業務'!$C$4:$C$200)&gt;0)*('業務'!$A$4:$A$200&lt;&gt;"")*('業務'!$P$4:$P$200="移管")))</f>
        <v/>
      </c>
      <c r="AQ33" s="22">
        <f>IF($A33="","",SUMPRODUCT((COUNTIFS('紐付け'!$A$4:$A$200,$A33,'紐付け'!$C$4:$C$200,'業務'!$C$4:$C$200)&gt;0)*('業務'!$A$4:$A$200&lt;&gt;"")*('業務'!$P$4:$P$200="留保")))</f>
        <v/>
      </c>
      <c r="AR33" s="22">
        <f>IF($A33="","",AO33-AP33-AQ33)</f>
        <v/>
      </c>
      <c r="AS33" s="22">
        <f>IF($A33="","",SUMPRODUCT(('紐付け'!$A$4:$A$200=$A33)*('紐付け'!$C$4:$C$200&lt;&gt;"")*(COUNTIF('業務'!$C$4:$C$200,'紐付け'!$C$4:$C$200)=0)*(COUNTIFS('システム'!$A$4:$A$200,'紐付け'!$C$4:$C$200,'システム'!$N$4:$N$200,"留保")&gt;0)))</f>
        <v/>
      </c>
      <c r="AT33" s="22">
        <f>IF($A33="","",SUMPRODUCT(('紐付け'!$A$4:$A$200=$A33)*('紐付け'!$C$4:$C$200&lt;&gt;"")*(COUNTIF('業務'!$C$4:$C$200,'紐付け'!$C$4:$C$200)=0))-AS33)</f>
        <v/>
      </c>
      <c r="AU33" s="22">
        <f>IF($A33="","",COUNTIF('契約'!$C$4:$C$200,$A33))</f>
        <v/>
      </c>
      <c r="AV33" s="22">
        <f>IF($A33="","",COUNTIFS('契約'!$C$4:$C$200,$A33,'契約'!$O$4:$O$200,"移管"))</f>
        <v/>
      </c>
      <c r="AW33" s="22">
        <f>IF($A33="","",COUNTIFS('契約'!$C$4:$C$200,$A33,'契約'!$O$4:$O$200,"一部"))</f>
        <v/>
      </c>
      <c r="AX33" s="22">
        <f>IF($A33="","",COUNTIFS('契約'!$C$4:$C$200,$A33,'契約'!$O$4:$O$200,"判定保留"))</f>
        <v/>
      </c>
      <c r="AY33" s="22">
        <f>IF($A33="","",COUNTIFS('契約'!$C$4:$C$200,$A33,'契約'!$O$4:$O$200,"留保"))</f>
        <v/>
      </c>
    </row>
    <row r="34">
      <c r="A34" s="17" t="n"/>
      <c r="B34" s="17" t="n"/>
      <c r="C34" s="17" t="n"/>
      <c r="D34" s="17" t="n"/>
      <c r="E34" s="17" t="n"/>
      <c r="F34" s="17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9">
        <f>IF(COUNT(G34:R34)=0,"",SUM(G34:R34))</f>
        <v/>
      </c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9">
        <f>IF(COUNT(T34:AE34)=0,"",SUM(T34:AE34))</f>
        <v/>
      </c>
      <c r="AG34" s="17" t="n"/>
      <c r="AH34" s="17" t="n"/>
      <c r="AI34" s="17" t="n"/>
      <c r="AJ34" s="17" t="n"/>
      <c r="AK34" s="17" t="n"/>
      <c r="AL34" s="22">
        <f>IF($A34="","",IF(OR(AM34="移管",AN34="移管"),"移管",IF(OR(AM34="一部",AN34="一部"),"一部",IF(OR(AM34="判定保留",AN34="判定保留"),"判定保留",IF(OR(AM34="留保",AN34="留保"),"留保","対象外")))))</f>
        <v/>
      </c>
      <c r="AM34" s="22">
        <f>IF($A34="","",IF(AU34=0,"対象外",IF(AV34=AU34,"移管",IF(AV34+AW34&gt;0,"一部",IF(AX34&gt;0,"判定保留",IF(AY34&gt;0,"留保","対象外"))))))</f>
        <v/>
      </c>
      <c r="AN34" s="22">
        <f>IF($A34="","",IF((AO34+AS34+AT34)=0,"対象外",IF(AP34=(AO34+AS34+AT34),"移管",IF(AP34&gt;0,"一部",IF(AR34+AT34&gt;0,"判定保留",IF(AQ34+AS34&gt;0,"留保","対象外"))))))</f>
        <v/>
      </c>
      <c r="AO34" s="22">
        <f>IF($A34="","",SUMPRODUCT((COUNTIFS('紐付け'!$A$4:$A$200,$A34,'紐付け'!$C$4:$C$200,'業務'!$C$4:$C$200)&gt;0)*('業務'!$A$4:$A$200&lt;&gt;"")))</f>
        <v/>
      </c>
      <c r="AP34" s="22">
        <f>IF($A34="","",SUMPRODUCT((COUNTIFS('紐付け'!$A$4:$A$200,$A34,'紐付け'!$C$4:$C$200,'業務'!$C$4:$C$200)&gt;0)*('業務'!$A$4:$A$200&lt;&gt;"")*('業務'!$P$4:$P$200="移管")))</f>
        <v/>
      </c>
      <c r="AQ34" s="22">
        <f>IF($A34="","",SUMPRODUCT((COUNTIFS('紐付け'!$A$4:$A$200,$A34,'紐付け'!$C$4:$C$200,'業務'!$C$4:$C$200)&gt;0)*('業務'!$A$4:$A$200&lt;&gt;"")*('業務'!$P$4:$P$200="留保")))</f>
        <v/>
      </c>
      <c r="AR34" s="22">
        <f>IF($A34="","",AO34-AP34-AQ34)</f>
        <v/>
      </c>
      <c r="AS34" s="22">
        <f>IF($A34="","",SUMPRODUCT(('紐付け'!$A$4:$A$200=$A34)*('紐付け'!$C$4:$C$200&lt;&gt;"")*(COUNTIF('業務'!$C$4:$C$200,'紐付け'!$C$4:$C$200)=0)*(COUNTIFS('システム'!$A$4:$A$200,'紐付け'!$C$4:$C$200,'システム'!$N$4:$N$200,"留保")&gt;0)))</f>
        <v/>
      </c>
      <c r="AT34" s="22">
        <f>IF($A34="","",SUMPRODUCT(('紐付け'!$A$4:$A$200=$A34)*('紐付け'!$C$4:$C$200&lt;&gt;"")*(COUNTIF('業務'!$C$4:$C$200,'紐付け'!$C$4:$C$200)=0))-AS34)</f>
        <v/>
      </c>
      <c r="AU34" s="22">
        <f>IF($A34="","",COUNTIF('契約'!$C$4:$C$200,$A34))</f>
        <v/>
      </c>
      <c r="AV34" s="22">
        <f>IF($A34="","",COUNTIFS('契約'!$C$4:$C$200,$A34,'契約'!$O$4:$O$200,"移管"))</f>
        <v/>
      </c>
      <c r="AW34" s="22">
        <f>IF($A34="","",COUNTIFS('契約'!$C$4:$C$200,$A34,'契約'!$O$4:$O$200,"一部"))</f>
        <v/>
      </c>
      <c r="AX34" s="22">
        <f>IF($A34="","",COUNTIFS('契約'!$C$4:$C$200,$A34,'契約'!$O$4:$O$200,"判定保留"))</f>
        <v/>
      </c>
      <c r="AY34" s="22">
        <f>IF($A34="","",COUNTIFS('契約'!$C$4:$C$200,$A34,'契約'!$O$4:$O$200,"留保"))</f>
        <v/>
      </c>
    </row>
    <row r="35">
      <c r="A35" s="17" t="n"/>
      <c r="B35" s="17" t="n"/>
      <c r="C35" s="17" t="n"/>
      <c r="D35" s="17" t="n"/>
      <c r="E35" s="17" t="n"/>
      <c r="F35" s="17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9">
        <f>IF(COUNT(G35:R35)=0,"",SUM(G35:R35))</f>
        <v/>
      </c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9">
        <f>IF(COUNT(T35:AE35)=0,"",SUM(T35:AE35))</f>
        <v/>
      </c>
      <c r="AG35" s="17" t="n"/>
      <c r="AH35" s="17" t="n"/>
      <c r="AI35" s="17" t="n"/>
      <c r="AJ35" s="17" t="n"/>
      <c r="AK35" s="17" t="n"/>
      <c r="AL35" s="22">
        <f>IF($A35="","",IF(OR(AM35="移管",AN35="移管"),"移管",IF(OR(AM35="一部",AN35="一部"),"一部",IF(OR(AM35="判定保留",AN35="判定保留"),"判定保留",IF(OR(AM35="留保",AN35="留保"),"留保","対象外")))))</f>
        <v/>
      </c>
      <c r="AM35" s="22">
        <f>IF($A35="","",IF(AU35=0,"対象外",IF(AV35=AU35,"移管",IF(AV35+AW35&gt;0,"一部",IF(AX35&gt;0,"判定保留",IF(AY35&gt;0,"留保","対象外"))))))</f>
        <v/>
      </c>
      <c r="AN35" s="22">
        <f>IF($A35="","",IF((AO35+AS35+AT35)=0,"対象外",IF(AP35=(AO35+AS35+AT35),"移管",IF(AP35&gt;0,"一部",IF(AR35+AT35&gt;0,"判定保留",IF(AQ35+AS35&gt;0,"留保","対象外"))))))</f>
        <v/>
      </c>
      <c r="AO35" s="22">
        <f>IF($A35="","",SUMPRODUCT((COUNTIFS('紐付け'!$A$4:$A$200,$A35,'紐付け'!$C$4:$C$200,'業務'!$C$4:$C$200)&gt;0)*('業務'!$A$4:$A$200&lt;&gt;"")))</f>
        <v/>
      </c>
      <c r="AP35" s="22">
        <f>IF($A35="","",SUMPRODUCT((COUNTIFS('紐付け'!$A$4:$A$200,$A35,'紐付け'!$C$4:$C$200,'業務'!$C$4:$C$200)&gt;0)*('業務'!$A$4:$A$200&lt;&gt;"")*('業務'!$P$4:$P$200="移管")))</f>
        <v/>
      </c>
      <c r="AQ35" s="22">
        <f>IF($A35="","",SUMPRODUCT((COUNTIFS('紐付け'!$A$4:$A$200,$A35,'紐付け'!$C$4:$C$200,'業務'!$C$4:$C$200)&gt;0)*('業務'!$A$4:$A$200&lt;&gt;"")*('業務'!$P$4:$P$200="留保")))</f>
        <v/>
      </c>
      <c r="AR35" s="22">
        <f>IF($A35="","",AO35-AP35-AQ35)</f>
        <v/>
      </c>
      <c r="AS35" s="22">
        <f>IF($A35="","",SUMPRODUCT(('紐付け'!$A$4:$A$200=$A35)*('紐付け'!$C$4:$C$200&lt;&gt;"")*(COUNTIF('業務'!$C$4:$C$200,'紐付け'!$C$4:$C$200)=0)*(COUNTIFS('システム'!$A$4:$A$200,'紐付け'!$C$4:$C$200,'システム'!$N$4:$N$200,"留保")&gt;0)))</f>
        <v/>
      </c>
      <c r="AT35" s="22">
        <f>IF($A35="","",SUMPRODUCT(('紐付け'!$A$4:$A$200=$A35)*('紐付け'!$C$4:$C$200&lt;&gt;"")*(COUNTIF('業務'!$C$4:$C$200,'紐付け'!$C$4:$C$200)=0))-AS35)</f>
        <v/>
      </c>
      <c r="AU35" s="22">
        <f>IF($A35="","",COUNTIF('契約'!$C$4:$C$200,$A35))</f>
        <v/>
      </c>
      <c r="AV35" s="22">
        <f>IF($A35="","",COUNTIFS('契約'!$C$4:$C$200,$A35,'契約'!$O$4:$O$200,"移管"))</f>
        <v/>
      </c>
      <c r="AW35" s="22">
        <f>IF($A35="","",COUNTIFS('契約'!$C$4:$C$200,$A35,'契約'!$O$4:$O$200,"一部"))</f>
        <v/>
      </c>
      <c r="AX35" s="22">
        <f>IF($A35="","",COUNTIFS('契約'!$C$4:$C$200,$A35,'契約'!$O$4:$O$200,"判定保留"))</f>
        <v/>
      </c>
      <c r="AY35" s="22">
        <f>IF($A35="","",COUNTIFS('契約'!$C$4:$C$200,$A35,'契約'!$O$4:$O$200,"留保"))</f>
        <v/>
      </c>
    </row>
    <row r="36">
      <c r="A36" s="17" t="n"/>
      <c r="B36" s="17" t="n"/>
      <c r="C36" s="17" t="n"/>
      <c r="D36" s="17" t="n"/>
      <c r="E36" s="17" t="n"/>
      <c r="F36" s="17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9">
        <f>IF(COUNT(G36:R36)=0,"",SUM(G36:R36))</f>
        <v/>
      </c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9">
        <f>IF(COUNT(T36:AE36)=0,"",SUM(T36:AE36))</f>
        <v/>
      </c>
      <c r="AG36" s="17" t="n"/>
      <c r="AH36" s="17" t="n"/>
      <c r="AI36" s="17" t="n"/>
      <c r="AJ36" s="17" t="n"/>
      <c r="AK36" s="17" t="n"/>
      <c r="AL36" s="22">
        <f>IF($A36="","",IF(OR(AM36="移管",AN36="移管"),"移管",IF(OR(AM36="一部",AN36="一部"),"一部",IF(OR(AM36="判定保留",AN36="判定保留"),"判定保留",IF(OR(AM36="留保",AN36="留保"),"留保","対象外")))))</f>
        <v/>
      </c>
      <c r="AM36" s="22">
        <f>IF($A36="","",IF(AU36=0,"対象外",IF(AV36=AU36,"移管",IF(AV36+AW36&gt;0,"一部",IF(AX36&gt;0,"判定保留",IF(AY36&gt;0,"留保","対象外"))))))</f>
        <v/>
      </c>
      <c r="AN36" s="22">
        <f>IF($A36="","",IF((AO36+AS36+AT36)=0,"対象外",IF(AP36=(AO36+AS36+AT36),"移管",IF(AP36&gt;0,"一部",IF(AR36+AT36&gt;0,"判定保留",IF(AQ36+AS36&gt;0,"留保","対象外"))))))</f>
        <v/>
      </c>
      <c r="AO36" s="22">
        <f>IF($A36="","",SUMPRODUCT((COUNTIFS('紐付け'!$A$4:$A$200,$A36,'紐付け'!$C$4:$C$200,'業務'!$C$4:$C$200)&gt;0)*('業務'!$A$4:$A$200&lt;&gt;"")))</f>
        <v/>
      </c>
      <c r="AP36" s="22">
        <f>IF($A36="","",SUMPRODUCT((COUNTIFS('紐付け'!$A$4:$A$200,$A36,'紐付け'!$C$4:$C$200,'業務'!$C$4:$C$200)&gt;0)*('業務'!$A$4:$A$200&lt;&gt;"")*('業務'!$P$4:$P$200="移管")))</f>
        <v/>
      </c>
      <c r="AQ36" s="22">
        <f>IF($A36="","",SUMPRODUCT((COUNTIFS('紐付け'!$A$4:$A$200,$A36,'紐付け'!$C$4:$C$200,'業務'!$C$4:$C$200)&gt;0)*('業務'!$A$4:$A$200&lt;&gt;"")*('業務'!$P$4:$P$200="留保")))</f>
        <v/>
      </c>
      <c r="AR36" s="22">
        <f>IF($A36="","",AO36-AP36-AQ36)</f>
        <v/>
      </c>
      <c r="AS36" s="22">
        <f>IF($A36="","",SUMPRODUCT(('紐付け'!$A$4:$A$200=$A36)*('紐付け'!$C$4:$C$200&lt;&gt;"")*(COUNTIF('業務'!$C$4:$C$200,'紐付け'!$C$4:$C$200)=0)*(COUNTIFS('システム'!$A$4:$A$200,'紐付け'!$C$4:$C$200,'システム'!$N$4:$N$200,"留保")&gt;0)))</f>
        <v/>
      </c>
      <c r="AT36" s="22">
        <f>IF($A36="","",SUMPRODUCT(('紐付け'!$A$4:$A$200=$A36)*('紐付け'!$C$4:$C$200&lt;&gt;"")*(COUNTIF('業務'!$C$4:$C$200,'紐付け'!$C$4:$C$200)=0))-AS36)</f>
        <v/>
      </c>
      <c r="AU36" s="22">
        <f>IF($A36="","",COUNTIF('契約'!$C$4:$C$200,$A36))</f>
        <v/>
      </c>
      <c r="AV36" s="22">
        <f>IF($A36="","",COUNTIFS('契約'!$C$4:$C$200,$A36,'契約'!$O$4:$O$200,"移管"))</f>
        <v/>
      </c>
      <c r="AW36" s="22">
        <f>IF($A36="","",COUNTIFS('契約'!$C$4:$C$200,$A36,'契約'!$O$4:$O$200,"一部"))</f>
        <v/>
      </c>
      <c r="AX36" s="22">
        <f>IF($A36="","",COUNTIFS('契約'!$C$4:$C$200,$A36,'契約'!$O$4:$O$200,"判定保留"))</f>
        <v/>
      </c>
      <c r="AY36" s="22">
        <f>IF($A36="","",COUNTIFS('契約'!$C$4:$C$200,$A36,'契約'!$O$4:$O$200,"留保"))</f>
        <v/>
      </c>
    </row>
    <row r="37">
      <c r="A37" s="17" t="n"/>
      <c r="B37" s="17" t="n"/>
      <c r="C37" s="17" t="n"/>
      <c r="D37" s="17" t="n"/>
      <c r="E37" s="17" t="n"/>
      <c r="F37" s="17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9">
        <f>IF(COUNT(G37:R37)=0,"",SUM(G37:R37))</f>
        <v/>
      </c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9">
        <f>IF(COUNT(T37:AE37)=0,"",SUM(T37:AE37))</f>
        <v/>
      </c>
      <c r="AG37" s="17" t="n"/>
      <c r="AH37" s="17" t="n"/>
      <c r="AI37" s="17" t="n"/>
      <c r="AJ37" s="17" t="n"/>
      <c r="AK37" s="17" t="n"/>
      <c r="AL37" s="22">
        <f>IF($A37="","",IF(OR(AM37="移管",AN37="移管"),"移管",IF(OR(AM37="一部",AN37="一部"),"一部",IF(OR(AM37="判定保留",AN37="判定保留"),"判定保留",IF(OR(AM37="留保",AN37="留保"),"留保","対象外")))))</f>
        <v/>
      </c>
      <c r="AM37" s="22">
        <f>IF($A37="","",IF(AU37=0,"対象外",IF(AV37=AU37,"移管",IF(AV37+AW37&gt;0,"一部",IF(AX37&gt;0,"判定保留",IF(AY37&gt;0,"留保","対象外"))))))</f>
        <v/>
      </c>
      <c r="AN37" s="22">
        <f>IF($A37="","",IF((AO37+AS37+AT37)=0,"対象外",IF(AP37=(AO37+AS37+AT37),"移管",IF(AP37&gt;0,"一部",IF(AR37+AT37&gt;0,"判定保留",IF(AQ37+AS37&gt;0,"留保","対象外"))))))</f>
        <v/>
      </c>
      <c r="AO37" s="22">
        <f>IF($A37="","",SUMPRODUCT((COUNTIFS('紐付け'!$A$4:$A$200,$A37,'紐付け'!$C$4:$C$200,'業務'!$C$4:$C$200)&gt;0)*('業務'!$A$4:$A$200&lt;&gt;"")))</f>
        <v/>
      </c>
      <c r="AP37" s="22">
        <f>IF($A37="","",SUMPRODUCT((COUNTIFS('紐付け'!$A$4:$A$200,$A37,'紐付け'!$C$4:$C$200,'業務'!$C$4:$C$200)&gt;0)*('業務'!$A$4:$A$200&lt;&gt;"")*('業務'!$P$4:$P$200="移管")))</f>
        <v/>
      </c>
      <c r="AQ37" s="22">
        <f>IF($A37="","",SUMPRODUCT((COUNTIFS('紐付け'!$A$4:$A$200,$A37,'紐付け'!$C$4:$C$200,'業務'!$C$4:$C$200)&gt;0)*('業務'!$A$4:$A$200&lt;&gt;"")*('業務'!$P$4:$P$200="留保")))</f>
        <v/>
      </c>
      <c r="AR37" s="22">
        <f>IF($A37="","",AO37-AP37-AQ37)</f>
        <v/>
      </c>
      <c r="AS37" s="22">
        <f>IF($A37="","",SUMPRODUCT(('紐付け'!$A$4:$A$200=$A37)*('紐付け'!$C$4:$C$200&lt;&gt;"")*(COUNTIF('業務'!$C$4:$C$200,'紐付け'!$C$4:$C$200)=0)*(COUNTIFS('システム'!$A$4:$A$200,'紐付け'!$C$4:$C$200,'システム'!$N$4:$N$200,"留保")&gt;0)))</f>
        <v/>
      </c>
      <c r="AT37" s="22">
        <f>IF($A37="","",SUMPRODUCT(('紐付け'!$A$4:$A$200=$A37)*('紐付け'!$C$4:$C$200&lt;&gt;"")*(COUNTIF('業務'!$C$4:$C$200,'紐付け'!$C$4:$C$200)=0))-AS37)</f>
        <v/>
      </c>
      <c r="AU37" s="22">
        <f>IF($A37="","",COUNTIF('契約'!$C$4:$C$200,$A37))</f>
        <v/>
      </c>
      <c r="AV37" s="22">
        <f>IF($A37="","",COUNTIFS('契約'!$C$4:$C$200,$A37,'契約'!$O$4:$O$200,"移管"))</f>
        <v/>
      </c>
      <c r="AW37" s="22">
        <f>IF($A37="","",COUNTIFS('契約'!$C$4:$C$200,$A37,'契約'!$O$4:$O$200,"一部"))</f>
        <v/>
      </c>
      <c r="AX37" s="22">
        <f>IF($A37="","",COUNTIFS('契約'!$C$4:$C$200,$A37,'契約'!$O$4:$O$200,"判定保留"))</f>
        <v/>
      </c>
      <c r="AY37" s="22">
        <f>IF($A37="","",COUNTIFS('契約'!$C$4:$C$200,$A37,'契約'!$O$4:$O$200,"留保"))</f>
        <v/>
      </c>
    </row>
    <row r="38">
      <c r="A38" s="17" t="n"/>
      <c r="B38" s="17" t="n"/>
      <c r="C38" s="17" t="n"/>
      <c r="D38" s="17" t="n"/>
      <c r="E38" s="17" t="n"/>
      <c r="F38" s="17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9">
        <f>IF(COUNT(G38:R38)=0,"",SUM(G38:R38))</f>
        <v/>
      </c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9">
        <f>IF(COUNT(T38:AE38)=0,"",SUM(T38:AE38))</f>
        <v/>
      </c>
      <c r="AG38" s="17" t="n"/>
      <c r="AH38" s="17" t="n"/>
      <c r="AI38" s="17" t="n"/>
      <c r="AJ38" s="17" t="n"/>
      <c r="AK38" s="17" t="n"/>
      <c r="AL38" s="22">
        <f>IF($A38="","",IF(OR(AM38="移管",AN38="移管"),"移管",IF(OR(AM38="一部",AN38="一部"),"一部",IF(OR(AM38="判定保留",AN38="判定保留"),"判定保留",IF(OR(AM38="留保",AN38="留保"),"留保","対象外")))))</f>
        <v/>
      </c>
      <c r="AM38" s="22">
        <f>IF($A38="","",IF(AU38=0,"対象外",IF(AV38=AU38,"移管",IF(AV38+AW38&gt;0,"一部",IF(AX38&gt;0,"判定保留",IF(AY38&gt;0,"留保","対象外"))))))</f>
        <v/>
      </c>
      <c r="AN38" s="22">
        <f>IF($A38="","",IF((AO38+AS38+AT38)=0,"対象外",IF(AP38=(AO38+AS38+AT38),"移管",IF(AP38&gt;0,"一部",IF(AR38+AT38&gt;0,"判定保留",IF(AQ38+AS38&gt;0,"留保","対象外"))))))</f>
        <v/>
      </c>
      <c r="AO38" s="22">
        <f>IF($A38="","",SUMPRODUCT((COUNTIFS('紐付け'!$A$4:$A$200,$A38,'紐付け'!$C$4:$C$200,'業務'!$C$4:$C$200)&gt;0)*('業務'!$A$4:$A$200&lt;&gt;"")))</f>
        <v/>
      </c>
      <c r="AP38" s="22">
        <f>IF($A38="","",SUMPRODUCT((COUNTIFS('紐付け'!$A$4:$A$200,$A38,'紐付け'!$C$4:$C$200,'業務'!$C$4:$C$200)&gt;0)*('業務'!$A$4:$A$200&lt;&gt;"")*('業務'!$P$4:$P$200="移管")))</f>
        <v/>
      </c>
      <c r="AQ38" s="22">
        <f>IF($A38="","",SUMPRODUCT((COUNTIFS('紐付け'!$A$4:$A$200,$A38,'紐付け'!$C$4:$C$200,'業務'!$C$4:$C$200)&gt;0)*('業務'!$A$4:$A$200&lt;&gt;"")*('業務'!$P$4:$P$200="留保")))</f>
        <v/>
      </c>
      <c r="AR38" s="22">
        <f>IF($A38="","",AO38-AP38-AQ38)</f>
        <v/>
      </c>
      <c r="AS38" s="22">
        <f>IF($A38="","",SUMPRODUCT(('紐付け'!$A$4:$A$200=$A38)*('紐付け'!$C$4:$C$200&lt;&gt;"")*(COUNTIF('業務'!$C$4:$C$200,'紐付け'!$C$4:$C$200)=0)*(COUNTIFS('システム'!$A$4:$A$200,'紐付け'!$C$4:$C$200,'システム'!$N$4:$N$200,"留保")&gt;0)))</f>
        <v/>
      </c>
      <c r="AT38" s="22">
        <f>IF($A38="","",SUMPRODUCT(('紐付け'!$A$4:$A$200=$A38)*('紐付け'!$C$4:$C$200&lt;&gt;"")*(COUNTIF('業務'!$C$4:$C$200,'紐付け'!$C$4:$C$200)=0))-AS38)</f>
        <v/>
      </c>
      <c r="AU38" s="22">
        <f>IF($A38="","",COUNTIF('契約'!$C$4:$C$200,$A38))</f>
        <v/>
      </c>
      <c r="AV38" s="22">
        <f>IF($A38="","",COUNTIFS('契約'!$C$4:$C$200,$A38,'契約'!$O$4:$O$200,"移管"))</f>
        <v/>
      </c>
      <c r="AW38" s="22">
        <f>IF($A38="","",COUNTIFS('契約'!$C$4:$C$200,$A38,'契約'!$O$4:$O$200,"一部"))</f>
        <v/>
      </c>
      <c r="AX38" s="22">
        <f>IF($A38="","",COUNTIFS('契約'!$C$4:$C$200,$A38,'契約'!$O$4:$O$200,"判定保留"))</f>
        <v/>
      </c>
      <c r="AY38" s="22">
        <f>IF($A38="","",COUNTIFS('契約'!$C$4:$C$200,$A38,'契約'!$O$4:$O$200,"留保"))</f>
        <v/>
      </c>
    </row>
    <row r="39">
      <c r="A39" s="17" t="n"/>
      <c r="B39" s="17" t="n"/>
      <c r="C39" s="17" t="n"/>
      <c r="D39" s="17" t="n"/>
      <c r="E39" s="17" t="n"/>
      <c r="F39" s="17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9">
        <f>IF(COUNT(G39:R39)=0,"",SUM(G39:R39))</f>
        <v/>
      </c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9">
        <f>IF(COUNT(T39:AE39)=0,"",SUM(T39:AE39))</f>
        <v/>
      </c>
      <c r="AG39" s="17" t="n"/>
      <c r="AH39" s="17" t="n"/>
      <c r="AI39" s="17" t="n"/>
      <c r="AJ39" s="17" t="n"/>
      <c r="AK39" s="17" t="n"/>
      <c r="AL39" s="22">
        <f>IF($A39="","",IF(OR(AM39="移管",AN39="移管"),"移管",IF(OR(AM39="一部",AN39="一部"),"一部",IF(OR(AM39="判定保留",AN39="判定保留"),"判定保留",IF(OR(AM39="留保",AN39="留保"),"留保","対象外")))))</f>
        <v/>
      </c>
      <c r="AM39" s="22">
        <f>IF($A39="","",IF(AU39=0,"対象外",IF(AV39=AU39,"移管",IF(AV39+AW39&gt;0,"一部",IF(AX39&gt;0,"判定保留",IF(AY39&gt;0,"留保","対象外"))))))</f>
        <v/>
      </c>
      <c r="AN39" s="22">
        <f>IF($A39="","",IF((AO39+AS39+AT39)=0,"対象外",IF(AP39=(AO39+AS39+AT39),"移管",IF(AP39&gt;0,"一部",IF(AR39+AT39&gt;0,"判定保留",IF(AQ39+AS39&gt;0,"留保","対象外"))))))</f>
        <v/>
      </c>
      <c r="AO39" s="22">
        <f>IF($A39="","",SUMPRODUCT((COUNTIFS('紐付け'!$A$4:$A$200,$A39,'紐付け'!$C$4:$C$200,'業務'!$C$4:$C$200)&gt;0)*('業務'!$A$4:$A$200&lt;&gt;"")))</f>
        <v/>
      </c>
      <c r="AP39" s="22">
        <f>IF($A39="","",SUMPRODUCT((COUNTIFS('紐付け'!$A$4:$A$200,$A39,'紐付け'!$C$4:$C$200,'業務'!$C$4:$C$200)&gt;0)*('業務'!$A$4:$A$200&lt;&gt;"")*('業務'!$P$4:$P$200="移管")))</f>
        <v/>
      </c>
      <c r="AQ39" s="22">
        <f>IF($A39="","",SUMPRODUCT((COUNTIFS('紐付け'!$A$4:$A$200,$A39,'紐付け'!$C$4:$C$200,'業務'!$C$4:$C$200)&gt;0)*('業務'!$A$4:$A$200&lt;&gt;"")*('業務'!$P$4:$P$200="留保")))</f>
        <v/>
      </c>
      <c r="AR39" s="22">
        <f>IF($A39="","",AO39-AP39-AQ39)</f>
        <v/>
      </c>
      <c r="AS39" s="22">
        <f>IF($A39="","",SUMPRODUCT(('紐付け'!$A$4:$A$200=$A39)*('紐付け'!$C$4:$C$200&lt;&gt;"")*(COUNTIF('業務'!$C$4:$C$200,'紐付け'!$C$4:$C$200)=0)*(COUNTIFS('システム'!$A$4:$A$200,'紐付け'!$C$4:$C$200,'システム'!$N$4:$N$200,"留保")&gt;0)))</f>
        <v/>
      </c>
      <c r="AT39" s="22">
        <f>IF($A39="","",SUMPRODUCT(('紐付け'!$A$4:$A$200=$A39)*('紐付け'!$C$4:$C$200&lt;&gt;"")*(COUNTIF('業務'!$C$4:$C$200,'紐付け'!$C$4:$C$200)=0))-AS39)</f>
        <v/>
      </c>
      <c r="AU39" s="22">
        <f>IF($A39="","",COUNTIF('契約'!$C$4:$C$200,$A39))</f>
        <v/>
      </c>
      <c r="AV39" s="22">
        <f>IF($A39="","",COUNTIFS('契約'!$C$4:$C$200,$A39,'契約'!$O$4:$O$200,"移管"))</f>
        <v/>
      </c>
      <c r="AW39" s="22">
        <f>IF($A39="","",COUNTIFS('契約'!$C$4:$C$200,$A39,'契約'!$O$4:$O$200,"一部"))</f>
        <v/>
      </c>
      <c r="AX39" s="22">
        <f>IF($A39="","",COUNTIFS('契約'!$C$4:$C$200,$A39,'契約'!$O$4:$O$200,"判定保留"))</f>
        <v/>
      </c>
      <c r="AY39" s="22">
        <f>IF($A39="","",COUNTIFS('契約'!$C$4:$C$200,$A39,'契約'!$O$4:$O$200,"留保"))</f>
        <v/>
      </c>
    </row>
    <row r="40">
      <c r="A40" s="17" t="n"/>
      <c r="B40" s="17" t="n"/>
      <c r="C40" s="17" t="n"/>
      <c r="D40" s="17" t="n"/>
      <c r="E40" s="17" t="n"/>
      <c r="F40" s="17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9">
        <f>IF(COUNT(G40:R40)=0,"",SUM(G40:R40))</f>
        <v/>
      </c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9">
        <f>IF(COUNT(T40:AE40)=0,"",SUM(T40:AE40))</f>
        <v/>
      </c>
      <c r="AG40" s="17" t="n"/>
      <c r="AH40" s="17" t="n"/>
      <c r="AI40" s="17" t="n"/>
      <c r="AJ40" s="17" t="n"/>
      <c r="AK40" s="17" t="n"/>
      <c r="AL40" s="22">
        <f>IF($A40="","",IF(OR(AM40="移管",AN40="移管"),"移管",IF(OR(AM40="一部",AN40="一部"),"一部",IF(OR(AM40="判定保留",AN40="判定保留"),"判定保留",IF(OR(AM40="留保",AN40="留保"),"留保","対象外")))))</f>
        <v/>
      </c>
      <c r="AM40" s="22">
        <f>IF($A40="","",IF(AU40=0,"対象外",IF(AV40=AU40,"移管",IF(AV40+AW40&gt;0,"一部",IF(AX40&gt;0,"判定保留",IF(AY40&gt;0,"留保","対象外"))))))</f>
        <v/>
      </c>
      <c r="AN40" s="22">
        <f>IF($A40="","",IF((AO40+AS40+AT40)=0,"対象外",IF(AP40=(AO40+AS40+AT40),"移管",IF(AP40&gt;0,"一部",IF(AR40+AT40&gt;0,"判定保留",IF(AQ40+AS40&gt;0,"留保","対象外"))))))</f>
        <v/>
      </c>
      <c r="AO40" s="22">
        <f>IF($A40="","",SUMPRODUCT((COUNTIFS('紐付け'!$A$4:$A$200,$A40,'紐付け'!$C$4:$C$200,'業務'!$C$4:$C$200)&gt;0)*('業務'!$A$4:$A$200&lt;&gt;"")))</f>
        <v/>
      </c>
      <c r="AP40" s="22">
        <f>IF($A40="","",SUMPRODUCT((COUNTIFS('紐付け'!$A$4:$A$200,$A40,'紐付け'!$C$4:$C$200,'業務'!$C$4:$C$200)&gt;0)*('業務'!$A$4:$A$200&lt;&gt;"")*('業務'!$P$4:$P$200="移管")))</f>
        <v/>
      </c>
      <c r="AQ40" s="22">
        <f>IF($A40="","",SUMPRODUCT((COUNTIFS('紐付け'!$A$4:$A$200,$A40,'紐付け'!$C$4:$C$200,'業務'!$C$4:$C$200)&gt;0)*('業務'!$A$4:$A$200&lt;&gt;"")*('業務'!$P$4:$P$200="留保")))</f>
        <v/>
      </c>
      <c r="AR40" s="22">
        <f>IF($A40="","",AO40-AP40-AQ40)</f>
        <v/>
      </c>
      <c r="AS40" s="22">
        <f>IF($A40="","",SUMPRODUCT(('紐付け'!$A$4:$A$200=$A40)*('紐付け'!$C$4:$C$200&lt;&gt;"")*(COUNTIF('業務'!$C$4:$C$200,'紐付け'!$C$4:$C$200)=0)*(COUNTIFS('システム'!$A$4:$A$200,'紐付け'!$C$4:$C$200,'システム'!$N$4:$N$200,"留保")&gt;0)))</f>
        <v/>
      </c>
      <c r="AT40" s="22">
        <f>IF($A40="","",SUMPRODUCT(('紐付け'!$A$4:$A$200=$A40)*('紐付け'!$C$4:$C$200&lt;&gt;"")*(COUNTIF('業務'!$C$4:$C$200,'紐付け'!$C$4:$C$200)=0))-AS40)</f>
        <v/>
      </c>
      <c r="AU40" s="22">
        <f>IF($A40="","",COUNTIF('契約'!$C$4:$C$200,$A40))</f>
        <v/>
      </c>
      <c r="AV40" s="22">
        <f>IF($A40="","",COUNTIFS('契約'!$C$4:$C$200,$A40,'契約'!$O$4:$O$200,"移管"))</f>
        <v/>
      </c>
      <c r="AW40" s="22">
        <f>IF($A40="","",COUNTIFS('契約'!$C$4:$C$200,$A40,'契約'!$O$4:$O$200,"一部"))</f>
        <v/>
      </c>
      <c r="AX40" s="22">
        <f>IF($A40="","",COUNTIFS('契約'!$C$4:$C$200,$A40,'契約'!$O$4:$O$200,"判定保留"))</f>
        <v/>
      </c>
      <c r="AY40" s="22">
        <f>IF($A40="","",COUNTIFS('契約'!$C$4:$C$200,$A40,'契約'!$O$4:$O$200,"留保"))</f>
        <v/>
      </c>
    </row>
    <row r="41">
      <c r="A41" s="17" t="n"/>
      <c r="B41" s="17" t="n"/>
      <c r="C41" s="17" t="n"/>
      <c r="D41" s="17" t="n"/>
      <c r="E41" s="17" t="n"/>
      <c r="F41" s="17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9">
        <f>IF(COUNT(G41:R41)=0,"",SUM(G41:R41))</f>
        <v/>
      </c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9">
        <f>IF(COUNT(T41:AE41)=0,"",SUM(T41:AE41))</f>
        <v/>
      </c>
      <c r="AG41" s="17" t="n"/>
      <c r="AH41" s="17" t="n"/>
      <c r="AI41" s="17" t="n"/>
      <c r="AJ41" s="17" t="n"/>
      <c r="AK41" s="17" t="n"/>
      <c r="AL41" s="22">
        <f>IF($A41="","",IF(OR(AM41="移管",AN41="移管"),"移管",IF(OR(AM41="一部",AN41="一部"),"一部",IF(OR(AM41="判定保留",AN41="判定保留"),"判定保留",IF(OR(AM41="留保",AN41="留保"),"留保","対象外")))))</f>
        <v/>
      </c>
      <c r="AM41" s="22">
        <f>IF($A41="","",IF(AU41=0,"対象外",IF(AV41=AU41,"移管",IF(AV41+AW41&gt;0,"一部",IF(AX41&gt;0,"判定保留",IF(AY41&gt;0,"留保","対象外"))))))</f>
        <v/>
      </c>
      <c r="AN41" s="22">
        <f>IF($A41="","",IF((AO41+AS41+AT41)=0,"対象外",IF(AP41=(AO41+AS41+AT41),"移管",IF(AP41&gt;0,"一部",IF(AR41+AT41&gt;0,"判定保留",IF(AQ41+AS41&gt;0,"留保","対象外"))))))</f>
        <v/>
      </c>
      <c r="AO41" s="22">
        <f>IF($A41="","",SUMPRODUCT((COUNTIFS('紐付け'!$A$4:$A$200,$A41,'紐付け'!$C$4:$C$200,'業務'!$C$4:$C$200)&gt;0)*('業務'!$A$4:$A$200&lt;&gt;"")))</f>
        <v/>
      </c>
      <c r="AP41" s="22">
        <f>IF($A41="","",SUMPRODUCT((COUNTIFS('紐付け'!$A$4:$A$200,$A41,'紐付け'!$C$4:$C$200,'業務'!$C$4:$C$200)&gt;0)*('業務'!$A$4:$A$200&lt;&gt;"")*('業務'!$P$4:$P$200="移管")))</f>
        <v/>
      </c>
      <c r="AQ41" s="22">
        <f>IF($A41="","",SUMPRODUCT((COUNTIFS('紐付け'!$A$4:$A$200,$A41,'紐付け'!$C$4:$C$200,'業務'!$C$4:$C$200)&gt;0)*('業務'!$A$4:$A$200&lt;&gt;"")*('業務'!$P$4:$P$200="留保")))</f>
        <v/>
      </c>
      <c r="AR41" s="22">
        <f>IF($A41="","",AO41-AP41-AQ41)</f>
        <v/>
      </c>
      <c r="AS41" s="22">
        <f>IF($A41="","",SUMPRODUCT(('紐付け'!$A$4:$A$200=$A41)*('紐付け'!$C$4:$C$200&lt;&gt;"")*(COUNTIF('業務'!$C$4:$C$200,'紐付け'!$C$4:$C$200)=0)*(COUNTIFS('システム'!$A$4:$A$200,'紐付け'!$C$4:$C$200,'システム'!$N$4:$N$200,"留保")&gt;0)))</f>
        <v/>
      </c>
      <c r="AT41" s="22">
        <f>IF($A41="","",SUMPRODUCT(('紐付け'!$A$4:$A$200=$A41)*('紐付け'!$C$4:$C$200&lt;&gt;"")*(COUNTIF('業務'!$C$4:$C$200,'紐付け'!$C$4:$C$200)=0))-AS41)</f>
        <v/>
      </c>
      <c r="AU41" s="22">
        <f>IF($A41="","",COUNTIF('契約'!$C$4:$C$200,$A41))</f>
        <v/>
      </c>
      <c r="AV41" s="22">
        <f>IF($A41="","",COUNTIFS('契約'!$C$4:$C$200,$A41,'契約'!$O$4:$O$200,"移管"))</f>
        <v/>
      </c>
      <c r="AW41" s="22">
        <f>IF($A41="","",COUNTIFS('契約'!$C$4:$C$200,$A41,'契約'!$O$4:$O$200,"一部"))</f>
        <v/>
      </c>
      <c r="AX41" s="22">
        <f>IF($A41="","",COUNTIFS('契約'!$C$4:$C$200,$A41,'契約'!$O$4:$O$200,"判定保留"))</f>
        <v/>
      </c>
      <c r="AY41" s="22">
        <f>IF($A41="","",COUNTIFS('契約'!$C$4:$C$200,$A41,'契約'!$O$4:$O$200,"留保"))</f>
        <v/>
      </c>
    </row>
    <row r="42">
      <c r="A42" s="17" t="n"/>
      <c r="B42" s="17" t="n"/>
      <c r="C42" s="17" t="n"/>
      <c r="D42" s="17" t="n"/>
      <c r="E42" s="17" t="n"/>
      <c r="F42" s="17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9">
        <f>IF(COUNT(G42:R42)=0,"",SUM(G42:R42))</f>
        <v/>
      </c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9">
        <f>IF(COUNT(T42:AE42)=0,"",SUM(T42:AE42))</f>
        <v/>
      </c>
      <c r="AG42" s="17" t="n"/>
      <c r="AH42" s="17" t="n"/>
      <c r="AI42" s="17" t="n"/>
      <c r="AJ42" s="17" t="n"/>
      <c r="AK42" s="17" t="n"/>
      <c r="AL42" s="22">
        <f>IF($A42="","",IF(OR(AM42="移管",AN42="移管"),"移管",IF(OR(AM42="一部",AN42="一部"),"一部",IF(OR(AM42="判定保留",AN42="判定保留"),"判定保留",IF(OR(AM42="留保",AN42="留保"),"留保","対象外")))))</f>
        <v/>
      </c>
      <c r="AM42" s="22">
        <f>IF($A42="","",IF(AU42=0,"対象外",IF(AV42=AU42,"移管",IF(AV42+AW42&gt;0,"一部",IF(AX42&gt;0,"判定保留",IF(AY42&gt;0,"留保","対象外"))))))</f>
        <v/>
      </c>
      <c r="AN42" s="22">
        <f>IF($A42="","",IF((AO42+AS42+AT42)=0,"対象外",IF(AP42=(AO42+AS42+AT42),"移管",IF(AP42&gt;0,"一部",IF(AR42+AT42&gt;0,"判定保留",IF(AQ42+AS42&gt;0,"留保","対象外"))))))</f>
        <v/>
      </c>
      <c r="AO42" s="22">
        <f>IF($A42="","",SUMPRODUCT((COUNTIFS('紐付け'!$A$4:$A$200,$A42,'紐付け'!$C$4:$C$200,'業務'!$C$4:$C$200)&gt;0)*('業務'!$A$4:$A$200&lt;&gt;"")))</f>
        <v/>
      </c>
      <c r="AP42" s="22">
        <f>IF($A42="","",SUMPRODUCT((COUNTIFS('紐付け'!$A$4:$A$200,$A42,'紐付け'!$C$4:$C$200,'業務'!$C$4:$C$200)&gt;0)*('業務'!$A$4:$A$200&lt;&gt;"")*('業務'!$P$4:$P$200="移管")))</f>
        <v/>
      </c>
      <c r="AQ42" s="22">
        <f>IF($A42="","",SUMPRODUCT((COUNTIFS('紐付け'!$A$4:$A$200,$A42,'紐付け'!$C$4:$C$200,'業務'!$C$4:$C$200)&gt;0)*('業務'!$A$4:$A$200&lt;&gt;"")*('業務'!$P$4:$P$200="留保")))</f>
        <v/>
      </c>
      <c r="AR42" s="22">
        <f>IF($A42="","",AO42-AP42-AQ42)</f>
        <v/>
      </c>
      <c r="AS42" s="22">
        <f>IF($A42="","",SUMPRODUCT(('紐付け'!$A$4:$A$200=$A42)*('紐付け'!$C$4:$C$200&lt;&gt;"")*(COUNTIF('業務'!$C$4:$C$200,'紐付け'!$C$4:$C$200)=0)*(COUNTIFS('システム'!$A$4:$A$200,'紐付け'!$C$4:$C$200,'システム'!$N$4:$N$200,"留保")&gt;0)))</f>
        <v/>
      </c>
      <c r="AT42" s="22">
        <f>IF($A42="","",SUMPRODUCT(('紐付け'!$A$4:$A$200=$A42)*('紐付け'!$C$4:$C$200&lt;&gt;"")*(COUNTIF('業務'!$C$4:$C$200,'紐付け'!$C$4:$C$200)=0))-AS42)</f>
        <v/>
      </c>
      <c r="AU42" s="22">
        <f>IF($A42="","",COUNTIF('契約'!$C$4:$C$200,$A42))</f>
        <v/>
      </c>
      <c r="AV42" s="22">
        <f>IF($A42="","",COUNTIFS('契約'!$C$4:$C$200,$A42,'契約'!$O$4:$O$200,"移管"))</f>
        <v/>
      </c>
      <c r="AW42" s="22">
        <f>IF($A42="","",COUNTIFS('契約'!$C$4:$C$200,$A42,'契約'!$O$4:$O$200,"一部"))</f>
        <v/>
      </c>
      <c r="AX42" s="22">
        <f>IF($A42="","",COUNTIFS('契約'!$C$4:$C$200,$A42,'契約'!$O$4:$O$200,"判定保留"))</f>
        <v/>
      </c>
      <c r="AY42" s="22">
        <f>IF($A42="","",COUNTIFS('契約'!$C$4:$C$200,$A42,'契約'!$O$4:$O$200,"留保"))</f>
        <v/>
      </c>
    </row>
    <row r="43">
      <c r="A43" s="17" t="n"/>
      <c r="B43" s="17" t="n"/>
      <c r="C43" s="17" t="n"/>
      <c r="D43" s="17" t="n"/>
      <c r="E43" s="17" t="n"/>
      <c r="F43" s="17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9">
        <f>IF(COUNT(G43:R43)=0,"",SUM(G43:R43))</f>
        <v/>
      </c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9">
        <f>IF(COUNT(T43:AE43)=0,"",SUM(T43:AE43))</f>
        <v/>
      </c>
      <c r="AG43" s="17" t="n"/>
      <c r="AH43" s="17" t="n"/>
      <c r="AI43" s="17" t="n"/>
      <c r="AJ43" s="17" t="n"/>
      <c r="AK43" s="17" t="n"/>
      <c r="AL43" s="22">
        <f>IF($A43="","",IF(OR(AM43="移管",AN43="移管"),"移管",IF(OR(AM43="一部",AN43="一部"),"一部",IF(OR(AM43="判定保留",AN43="判定保留"),"判定保留",IF(OR(AM43="留保",AN43="留保"),"留保","対象外")))))</f>
        <v/>
      </c>
      <c r="AM43" s="22">
        <f>IF($A43="","",IF(AU43=0,"対象外",IF(AV43=AU43,"移管",IF(AV43+AW43&gt;0,"一部",IF(AX43&gt;0,"判定保留",IF(AY43&gt;0,"留保","対象外"))))))</f>
        <v/>
      </c>
      <c r="AN43" s="22">
        <f>IF($A43="","",IF((AO43+AS43+AT43)=0,"対象外",IF(AP43=(AO43+AS43+AT43),"移管",IF(AP43&gt;0,"一部",IF(AR43+AT43&gt;0,"判定保留",IF(AQ43+AS43&gt;0,"留保","対象外"))))))</f>
        <v/>
      </c>
      <c r="AO43" s="22">
        <f>IF($A43="","",SUMPRODUCT((COUNTIFS('紐付け'!$A$4:$A$200,$A43,'紐付け'!$C$4:$C$200,'業務'!$C$4:$C$200)&gt;0)*('業務'!$A$4:$A$200&lt;&gt;"")))</f>
        <v/>
      </c>
      <c r="AP43" s="22">
        <f>IF($A43="","",SUMPRODUCT((COUNTIFS('紐付け'!$A$4:$A$200,$A43,'紐付け'!$C$4:$C$200,'業務'!$C$4:$C$200)&gt;0)*('業務'!$A$4:$A$200&lt;&gt;"")*('業務'!$P$4:$P$200="移管")))</f>
        <v/>
      </c>
      <c r="AQ43" s="22">
        <f>IF($A43="","",SUMPRODUCT((COUNTIFS('紐付け'!$A$4:$A$200,$A43,'紐付け'!$C$4:$C$200,'業務'!$C$4:$C$200)&gt;0)*('業務'!$A$4:$A$200&lt;&gt;"")*('業務'!$P$4:$P$200="留保")))</f>
        <v/>
      </c>
      <c r="AR43" s="22">
        <f>IF($A43="","",AO43-AP43-AQ43)</f>
        <v/>
      </c>
      <c r="AS43" s="22">
        <f>IF($A43="","",SUMPRODUCT(('紐付け'!$A$4:$A$200=$A43)*('紐付け'!$C$4:$C$200&lt;&gt;"")*(COUNTIF('業務'!$C$4:$C$200,'紐付け'!$C$4:$C$200)=0)*(COUNTIFS('システム'!$A$4:$A$200,'紐付け'!$C$4:$C$200,'システム'!$N$4:$N$200,"留保")&gt;0)))</f>
        <v/>
      </c>
      <c r="AT43" s="22">
        <f>IF($A43="","",SUMPRODUCT(('紐付け'!$A$4:$A$200=$A43)*('紐付け'!$C$4:$C$200&lt;&gt;"")*(COUNTIF('業務'!$C$4:$C$200,'紐付け'!$C$4:$C$200)=0))-AS43)</f>
        <v/>
      </c>
      <c r="AU43" s="22">
        <f>IF($A43="","",COUNTIF('契約'!$C$4:$C$200,$A43))</f>
        <v/>
      </c>
      <c r="AV43" s="22">
        <f>IF($A43="","",COUNTIFS('契約'!$C$4:$C$200,$A43,'契約'!$O$4:$O$200,"移管"))</f>
        <v/>
      </c>
      <c r="AW43" s="22">
        <f>IF($A43="","",COUNTIFS('契約'!$C$4:$C$200,$A43,'契約'!$O$4:$O$200,"一部"))</f>
        <v/>
      </c>
      <c r="AX43" s="22">
        <f>IF($A43="","",COUNTIFS('契約'!$C$4:$C$200,$A43,'契約'!$O$4:$O$200,"判定保留"))</f>
        <v/>
      </c>
      <c r="AY43" s="22">
        <f>IF($A43="","",COUNTIFS('契約'!$C$4:$C$200,$A43,'契約'!$O$4:$O$200,"留保"))</f>
        <v/>
      </c>
    </row>
    <row r="44">
      <c r="A44" s="17" t="n"/>
      <c r="B44" s="17" t="n"/>
      <c r="C44" s="17" t="n"/>
      <c r="D44" s="17" t="n"/>
      <c r="E44" s="17" t="n"/>
      <c r="F44" s="17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9">
        <f>IF(COUNT(G44:R44)=0,"",SUM(G44:R44))</f>
        <v/>
      </c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9">
        <f>IF(COUNT(T44:AE44)=0,"",SUM(T44:AE44))</f>
        <v/>
      </c>
      <c r="AG44" s="17" t="n"/>
      <c r="AH44" s="17" t="n"/>
      <c r="AI44" s="17" t="n"/>
      <c r="AJ44" s="17" t="n"/>
      <c r="AK44" s="17" t="n"/>
      <c r="AL44" s="22">
        <f>IF($A44="","",IF(OR(AM44="移管",AN44="移管"),"移管",IF(OR(AM44="一部",AN44="一部"),"一部",IF(OR(AM44="判定保留",AN44="判定保留"),"判定保留",IF(OR(AM44="留保",AN44="留保"),"留保","対象外")))))</f>
        <v/>
      </c>
      <c r="AM44" s="22">
        <f>IF($A44="","",IF(AU44=0,"対象外",IF(AV44=AU44,"移管",IF(AV44+AW44&gt;0,"一部",IF(AX44&gt;0,"判定保留",IF(AY44&gt;0,"留保","対象外"))))))</f>
        <v/>
      </c>
      <c r="AN44" s="22">
        <f>IF($A44="","",IF((AO44+AS44+AT44)=0,"対象外",IF(AP44=(AO44+AS44+AT44),"移管",IF(AP44&gt;0,"一部",IF(AR44+AT44&gt;0,"判定保留",IF(AQ44+AS44&gt;0,"留保","対象外"))))))</f>
        <v/>
      </c>
      <c r="AO44" s="22">
        <f>IF($A44="","",SUMPRODUCT((COUNTIFS('紐付け'!$A$4:$A$200,$A44,'紐付け'!$C$4:$C$200,'業務'!$C$4:$C$200)&gt;0)*('業務'!$A$4:$A$200&lt;&gt;"")))</f>
        <v/>
      </c>
      <c r="AP44" s="22">
        <f>IF($A44="","",SUMPRODUCT((COUNTIFS('紐付け'!$A$4:$A$200,$A44,'紐付け'!$C$4:$C$200,'業務'!$C$4:$C$200)&gt;0)*('業務'!$A$4:$A$200&lt;&gt;"")*('業務'!$P$4:$P$200="移管")))</f>
        <v/>
      </c>
      <c r="AQ44" s="22">
        <f>IF($A44="","",SUMPRODUCT((COUNTIFS('紐付け'!$A$4:$A$200,$A44,'紐付け'!$C$4:$C$200,'業務'!$C$4:$C$200)&gt;0)*('業務'!$A$4:$A$200&lt;&gt;"")*('業務'!$P$4:$P$200="留保")))</f>
        <v/>
      </c>
      <c r="AR44" s="22">
        <f>IF($A44="","",AO44-AP44-AQ44)</f>
        <v/>
      </c>
      <c r="AS44" s="22">
        <f>IF($A44="","",SUMPRODUCT(('紐付け'!$A$4:$A$200=$A44)*('紐付け'!$C$4:$C$200&lt;&gt;"")*(COUNTIF('業務'!$C$4:$C$200,'紐付け'!$C$4:$C$200)=0)*(COUNTIFS('システム'!$A$4:$A$200,'紐付け'!$C$4:$C$200,'システム'!$N$4:$N$200,"留保")&gt;0)))</f>
        <v/>
      </c>
      <c r="AT44" s="22">
        <f>IF($A44="","",SUMPRODUCT(('紐付け'!$A$4:$A$200=$A44)*('紐付け'!$C$4:$C$200&lt;&gt;"")*(COUNTIF('業務'!$C$4:$C$200,'紐付け'!$C$4:$C$200)=0))-AS44)</f>
        <v/>
      </c>
      <c r="AU44" s="22">
        <f>IF($A44="","",COUNTIF('契約'!$C$4:$C$200,$A44))</f>
        <v/>
      </c>
      <c r="AV44" s="22">
        <f>IF($A44="","",COUNTIFS('契約'!$C$4:$C$200,$A44,'契約'!$O$4:$O$200,"移管"))</f>
        <v/>
      </c>
      <c r="AW44" s="22">
        <f>IF($A44="","",COUNTIFS('契約'!$C$4:$C$200,$A44,'契約'!$O$4:$O$200,"一部"))</f>
        <v/>
      </c>
      <c r="AX44" s="22">
        <f>IF($A44="","",COUNTIFS('契約'!$C$4:$C$200,$A44,'契約'!$O$4:$O$200,"判定保留"))</f>
        <v/>
      </c>
      <c r="AY44" s="22">
        <f>IF($A44="","",COUNTIFS('契約'!$C$4:$C$200,$A44,'契約'!$O$4:$O$200,"留保"))</f>
        <v/>
      </c>
    </row>
    <row r="45">
      <c r="A45" s="17" t="n"/>
      <c r="B45" s="17" t="n"/>
      <c r="C45" s="17" t="n"/>
      <c r="D45" s="17" t="n"/>
      <c r="E45" s="17" t="n"/>
      <c r="F45" s="17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9">
        <f>IF(COUNT(G45:R45)=0,"",SUM(G45:R45))</f>
        <v/>
      </c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9">
        <f>IF(COUNT(T45:AE45)=0,"",SUM(T45:AE45))</f>
        <v/>
      </c>
      <c r="AG45" s="17" t="n"/>
      <c r="AH45" s="17" t="n"/>
      <c r="AI45" s="17" t="n"/>
      <c r="AJ45" s="17" t="n"/>
      <c r="AK45" s="17" t="n"/>
      <c r="AL45" s="22">
        <f>IF($A45="","",IF(OR(AM45="移管",AN45="移管"),"移管",IF(OR(AM45="一部",AN45="一部"),"一部",IF(OR(AM45="判定保留",AN45="判定保留"),"判定保留",IF(OR(AM45="留保",AN45="留保"),"留保","対象外")))))</f>
        <v/>
      </c>
      <c r="AM45" s="22">
        <f>IF($A45="","",IF(AU45=0,"対象外",IF(AV45=AU45,"移管",IF(AV45+AW45&gt;0,"一部",IF(AX45&gt;0,"判定保留",IF(AY45&gt;0,"留保","対象外"))))))</f>
        <v/>
      </c>
      <c r="AN45" s="22">
        <f>IF($A45="","",IF((AO45+AS45+AT45)=0,"対象外",IF(AP45=(AO45+AS45+AT45),"移管",IF(AP45&gt;0,"一部",IF(AR45+AT45&gt;0,"判定保留",IF(AQ45+AS45&gt;0,"留保","対象外"))))))</f>
        <v/>
      </c>
      <c r="AO45" s="22">
        <f>IF($A45="","",SUMPRODUCT((COUNTIFS('紐付け'!$A$4:$A$200,$A45,'紐付け'!$C$4:$C$200,'業務'!$C$4:$C$200)&gt;0)*('業務'!$A$4:$A$200&lt;&gt;"")))</f>
        <v/>
      </c>
      <c r="AP45" s="22">
        <f>IF($A45="","",SUMPRODUCT((COUNTIFS('紐付け'!$A$4:$A$200,$A45,'紐付け'!$C$4:$C$200,'業務'!$C$4:$C$200)&gt;0)*('業務'!$A$4:$A$200&lt;&gt;"")*('業務'!$P$4:$P$200="移管")))</f>
        <v/>
      </c>
      <c r="AQ45" s="22">
        <f>IF($A45="","",SUMPRODUCT((COUNTIFS('紐付け'!$A$4:$A$200,$A45,'紐付け'!$C$4:$C$200,'業務'!$C$4:$C$200)&gt;0)*('業務'!$A$4:$A$200&lt;&gt;"")*('業務'!$P$4:$P$200="留保")))</f>
        <v/>
      </c>
      <c r="AR45" s="22">
        <f>IF($A45="","",AO45-AP45-AQ45)</f>
        <v/>
      </c>
      <c r="AS45" s="22">
        <f>IF($A45="","",SUMPRODUCT(('紐付け'!$A$4:$A$200=$A45)*('紐付け'!$C$4:$C$200&lt;&gt;"")*(COUNTIF('業務'!$C$4:$C$200,'紐付け'!$C$4:$C$200)=0)*(COUNTIFS('システム'!$A$4:$A$200,'紐付け'!$C$4:$C$200,'システム'!$N$4:$N$200,"留保")&gt;0)))</f>
        <v/>
      </c>
      <c r="AT45" s="22">
        <f>IF($A45="","",SUMPRODUCT(('紐付け'!$A$4:$A$200=$A45)*('紐付け'!$C$4:$C$200&lt;&gt;"")*(COUNTIF('業務'!$C$4:$C$200,'紐付け'!$C$4:$C$200)=0))-AS45)</f>
        <v/>
      </c>
      <c r="AU45" s="22">
        <f>IF($A45="","",COUNTIF('契約'!$C$4:$C$200,$A45))</f>
        <v/>
      </c>
      <c r="AV45" s="22">
        <f>IF($A45="","",COUNTIFS('契約'!$C$4:$C$200,$A45,'契約'!$O$4:$O$200,"移管"))</f>
        <v/>
      </c>
      <c r="AW45" s="22">
        <f>IF($A45="","",COUNTIFS('契約'!$C$4:$C$200,$A45,'契約'!$O$4:$O$200,"一部"))</f>
        <v/>
      </c>
      <c r="AX45" s="22">
        <f>IF($A45="","",COUNTIFS('契約'!$C$4:$C$200,$A45,'契約'!$O$4:$O$200,"判定保留"))</f>
        <v/>
      </c>
      <c r="AY45" s="22">
        <f>IF($A45="","",COUNTIFS('契約'!$C$4:$C$200,$A45,'契約'!$O$4:$O$200,"留保"))</f>
        <v/>
      </c>
    </row>
    <row r="46">
      <c r="A46" s="17" t="n"/>
      <c r="B46" s="17" t="n"/>
      <c r="C46" s="17" t="n"/>
      <c r="D46" s="17" t="n"/>
      <c r="E46" s="17" t="n"/>
      <c r="F46" s="17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9">
        <f>IF(COUNT(G46:R46)=0,"",SUM(G46:R46))</f>
        <v/>
      </c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9">
        <f>IF(COUNT(T46:AE46)=0,"",SUM(T46:AE46))</f>
        <v/>
      </c>
      <c r="AG46" s="17" t="n"/>
      <c r="AH46" s="17" t="n"/>
      <c r="AI46" s="17" t="n"/>
      <c r="AJ46" s="17" t="n"/>
      <c r="AK46" s="17" t="n"/>
      <c r="AL46" s="22">
        <f>IF($A46="","",IF(OR(AM46="移管",AN46="移管"),"移管",IF(OR(AM46="一部",AN46="一部"),"一部",IF(OR(AM46="判定保留",AN46="判定保留"),"判定保留",IF(OR(AM46="留保",AN46="留保"),"留保","対象外")))))</f>
        <v/>
      </c>
      <c r="AM46" s="22">
        <f>IF($A46="","",IF(AU46=0,"対象外",IF(AV46=AU46,"移管",IF(AV46+AW46&gt;0,"一部",IF(AX46&gt;0,"判定保留",IF(AY46&gt;0,"留保","対象外"))))))</f>
        <v/>
      </c>
      <c r="AN46" s="22">
        <f>IF($A46="","",IF((AO46+AS46+AT46)=0,"対象外",IF(AP46=(AO46+AS46+AT46),"移管",IF(AP46&gt;0,"一部",IF(AR46+AT46&gt;0,"判定保留",IF(AQ46+AS46&gt;0,"留保","対象外"))))))</f>
        <v/>
      </c>
      <c r="AO46" s="22">
        <f>IF($A46="","",SUMPRODUCT((COUNTIFS('紐付け'!$A$4:$A$200,$A46,'紐付け'!$C$4:$C$200,'業務'!$C$4:$C$200)&gt;0)*('業務'!$A$4:$A$200&lt;&gt;"")))</f>
        <v/>
      </c>
      <c r="AP46" s="22">
        <f>IF($A46="","",SUMPRODUCT((COUNTIFS('紐付け'!$A$4:$A$200,$A46,'紐付け'!$C$4:$C$200,'業務'!$C$4:$C$200)&gt;0)*('業務'!$A$4:$A$200&lt;&gt;"")*('業務'!$P$4:$P$200="移管")))</f>
        <v/>
      </c>
      <c r="AQ46" s="22">
        <f>IF($A46="","",SUMPRODUCT((COUNTIFS('紐付け'!$A$4:$A$200,$A46,'紐付け'!$C$4:$C$200,'業務'!$C$4:$C$200)&gt;0)*('業務'!$A$4:$A$200&lt;&gt;"")*('業務'!$P$4:$P$200="留保")))</f>
        <v/>
      </c>
      <c r="AR46" s="22">
        <f>IF($A46="","",AO46-AP46-AQ46)</f>
        <v/>
      </c>
      <c r="AS46" s="22">
        <f>IF($A46="","",SUMPRODUCT(('紐付け'!$A$4:$A$200=$A46)*('紐付け'!$C$4:$C$200&lt;&gt;"")*(COUNTIF('業務'!$C$4:$C$200,'紐付け'!$C$4:$C$200)=0)*(COUNTIFS('システム'!$A$4:$A$200,'紐付け'!$C$4:$C$200,'システム'!$N$4:$N$200,"留保")&gt;0)))</f>
        <v/>
      </c>
      <c r="AT46" s="22">
        <f>IF($A46="","",SUMPRODUCT(('紐付け'!$A$4:$A$200=$A46)*('紐付け'!$C$4:$C$200&lt;&gt;"")*(COUNTIF('業務'!$C$4:$C$200,'紐付け'!$C$4:$C$200)=0))-AS46)</f>
        <v/>
      </c>
      <c r="AU46" s="22">
        <f>IF($A46="","",COUNTIF('契約'!$C$4:$C$200,$A46))</f>
        <v/>
      </c>
      <c r="AV46" s="22">
        <f>IF($A46="","",COUNTIFS('契約'!$C$4:$C$200,$A46,'契約'!$O$4:$O$200,"移管"))</f>
        <v/>
      </c>
      <c r="AW46" s="22">
        <f>IF($A46="","",COUNTIFS('契約'!$C$4:$C$200,$A46,'契約'!$O$4:$O$200,"一部"))</f>
        <v/>
      </c>
      <c r="AX46" s="22">
        <f>IF($A46="","",COUNTIFS('契約'!$C$4:$C$200,$A46,'契約'!$O$4:$O$200,"判定保留"))</f>
        <v/>
      </c>
      <c r="AY46" s="22">
        <f>IF($A46="","",COUNTIFS('契約'!$C$4:$C$200,$A46,'契約'!$O$4:$O$200,"留保"))</f>
        <v/>
      </c>
    </row>
    <row r="47">
      <c r="A47" s="17" t="n"/>
      <c r="B47" s="17" t="n"/>
      <c r="C47" s="17" t="n"/>
      <c r="D47" s="17" t="n"/>
      <c r="E47" s="17" t="n"/>
      <c r="F47" s="17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9">
        <f>IF(COUNT(G47:R47)=0,"",SUM(G47:R47))</f>
        <v/>
      </c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9">
        <f>IF(COUNT(T47:AE47)=0,"",SUM(T47:AE47))</f>
        <v/>
      </c>
      <c r="AG47" s="17" t="n"/>
      <c r="AH47" s="17" t="n"/>
      <c r="AI47" s="17" t="n"/>
      <c r="AJ47" s="17" t="n"/>
      <c r="AK47" s="17" t="n"/>
      <c r="AL47" s="22">
        <f>IF($A47="","",IF(OR(AM47="移管",AN47="移管"),"移管",IF(OR(AM47="一部",AN47="一部"),"一部",IF(OR(AM47="判定保留",AN47="判定保留"),"判定保留",IF(OR(AM47="留保",AN47="留保"),"留保","対象外")))))</f>
        <v/>
      </c>
      <c r="AM47" s="22">
        <f>IF($A47="","",IF(AU47=0,"対象外",IF(AV47=AU47,"移管",IF(AV47+AW47&gt;0,"一部",IF(AX47&gt;0,"判定保留",IF(AY47&gt;0,"留保","対象外"))))))</f>
        <v/>
      </c>
      <c r="AN47" s="22">
        <f>IF($A47="","",IF((AO47+AS47+AT47)=0,"対象外",IF(AP47=(AO47+AS47+AT47),"移管",IF(AP47&gt;0,"一部",IF(AR47+AT47&gt;0,"判定保留",IF(AQ47+AS47&gt;0,"留保","対象外"))))))</f>
        <v/>
      </c>
      <c r="AO47" s="22">
        <f>IF($A47="","",SUMPRODUCT((COUNTIFS('紐付け'!$A$4:$A$200,$A47,'紐付け'!$C$4:$C$200,'業務'!$C$4:$C$200)&gt;0)*('業務'!$A$4:$A$200&lt;&gt;"")))</f>
        <v/>
      </c>
      <c r="AP47" s="22">
        <f>IF($A47="","",SUMPRODUCT((COUNTIFS('紐付け'!$A$4:$A$200,$A47,'紐付け'!$C$4:$C$200,'業務'!$C$4:$C$200)&gt;0)*('業務'!$A$4:$A$200&lt;&gt;"")*('業務'!$P$4:$P$200="移管")))</f>
        <v/>
      </c>
      <c r="AQ47" s="22">
        <f>IF($A47="","",SUMPRODUCT((COUNTIFS('紐付け'!$A$4:$A$200,$A47,'紐付け'!$C$4:$C$200,'業務'!$C$4:$C$200)&gt;0)*('業務'!$A$4:$A$200&lt;&gt;"")*('業務'!$P$4:$P$200="留保")))</f>
        <v/>
      </c>
      <c r="AR47" s="22">
        <f>IF($A47="","",AO47-AP47-AQ47)</f>
        <v/>
      </c>
      <c r="AS47" s="22">
        <f>IF($A47="","",SUMPRODUCT(('紐付け'!$A$4:$A$200=$A47)*('紐付け'!$C$4:$C$200&lt;&gt;"")*(COUNTIF('業務'!$C$4:$C$200,'紐付け'!$C$4:$C$200)=0)*(COUNTIFS('システム'!$A$4:$A$200,'紐付け'!$C$4:$C$200,'システム'!$N$4:$N$200,"留保")&gt;0)))</f>
        <v/>
      </c>
      <c r="AT47" s="22">
        <f>IF($A47="","",SUMPRODUCT(('紐付け'!$A$4:$A$200=$A47)*('紐付け'!$C$4:$C$200&lt;&gt;"")*(COUNTIF('業務'!$C$4:$C$200,'紐付け'!$C$4:$C$200)=0))-AS47)</f>
        <v/>
      </c>
      <c r="AU47" s="22">
        <f>IF($A47="","",COUNTIF('契約'!$C$4:$C$200,$A47))</f>
        <v/>
      </c>
      <c r="AV47" s="22">
        <f>IF($A47="","",COUNTIFS('契約'!$C$4:$C$200,$A47,'契約'!$O$4:$O$200,"移管"))</f>
        <v/>
      </c>
      <c r="AW47" s="22">
        <f>IF($A47="","",COUNTIFS('契約'!$C$4:$C$200,$A47,'契約'!$O$4:$O$200,"一部"))</f>
        <v/>
      </c>
      <c r="AX47" s="22">
        <f>IF($A47="","",COUNTIFS('契約'!$C$4:$C$200,$A47,'契約'!$O$4:$O$200,"判定保留"))</f>
        <v/>
      </c>
      <c r="AY47" s="22">
        <f>IF($A47="","",COUNTIFS('契約'!$C$4:$C$200,$A47,'契約'!$O$4:$O$200,"留保"))</f>
        <v/>
      </c>
    </row>
    <row r="48">
      <c r="A48" s="17" t="n"/>
      <c r="B48" s="17" t="n"/>
      <c r="C48" s="17" t="n"/>
      <c r="D48" s="17" t="n"/>
      <c r="E48" s="17" t="n"/>
      <c r="F48" s="17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9">
        <f>IF(COUNT(G48:R48)=0,"",SUM(G48:R48))</f>
        <v/>
      </c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9">
        <f>IF(COUNT(T48:AE48)=0,"",SUM(T48:AE48))</f>
        <v/>
      </c>
      <c r="AG48" s="17" t="n"/>
      <c r="AH48" s="17" t="n"/>
      <c r="AI48" s="17" t="n"/>
      <c r="AJ48" s="17" t="n"/>
      <c r="AK48" s="17" t="n"/>
      <c r="AL48" s="22">
        <f>IF($A48="","",IF(OR(AM48="移管",AN48="移管"),"移管",IF(OR(AM48="一部",AN48="一部"),"一部",IF(OR(AM48="判定保留",AN48="判定保留"),"判定保留",IF(OR(AM48="留保",AN48="留保"),"留保","対象外")))))</f>
        <v/>
      </c>
      <c r="AM48" s="22">
        <f>IF($A48="","",IF(AU48=0,"対象外",IF(AV48=AU48,"移管",IF(AV48+AW48&gt;0,"一部",IF(AX48&gt;0,"判定保留",IF(AY48&gt;0,"留保","対象外"))))))</f>
        <v/>
      </c>
      <c r="AN48" s="22">
        <f>IF($A48="","",IF((AO48+AS48+AT48)=0,"対象外",IF(AP48=(AO48+AS48+AT48),"移管",IF(AP48&gt;0,"一部",IF(AR48+AT48&gt;0,"判定保留",IF(AQ48+AS48&gt;0,"留保","対象外"))))))</f>
        <v/>
      </c>
      <c r="AO48" s="22">
        <f>IF($A48="","",SUMPRODUCT((COUNTIFS('紐付け'!$A$4:$A$200,$A48,'紐付け'!$C$4:$C$200,'業務'!$C$4:$C$200)&gt;0)*('業務'!$A$4:$A$200&lt;&gt;"")))</f>
        <v/>
      </c>
      <c r="AP48" s="22">
        <f>IF($A48="","",SUMPRODUCT((COUNTIFS('紐付け'!$A$4:$A$200,$A48,'紐付け'!$C$4:$C$200,'業務'!$C$4:$C$200)&gt;0)*('業務'!$A$4:$A$200&lt;&gt;"")*('業務'!$P$4:$P$200="移管")))</f>
        <v/>
      </c>
      <c r="AQ48" s="22">
        <f>IF($A48="","",SUMPRODUCT((COUNTIFS('紐付け'!$A$4:$A$200,$A48,'紐付け'!$C$4:$C$200,'業務'!$C$4:$C$200)&gt;0)*('業務'!$A$4:$A$200&lt;&gt;"")*('業務'!$P$4:$P$200="留保")))</f>
        <v/>
      </c>
      <c r="AR48" s="22">
        <f>IF($A48="","",AO48-AP48-AQ48)</f>
        <v/>
      </c>
      <c r="AS48" s="22">
        <f>IF($A48="","",SUMPRODUCT(('紐付け'!$A$4:$A$200=$A48)*('紐付け'!$C$4:$C$200&lt;&gt;"")*(COUNTIF('業務'!$C$4:$C$200,'紐付け'!$C$4:$C$200)=0)*(COUNTIFS('システム'!$A$4:$A$200,'紐付け'!$C$4:$C$200,'システム'!$N$4:$N$200,"留保")&gt;0)))</f>
        <v/>
      </c>
      <c r="AT48" s="22">
        <f>IF($A48="","",SUMPRODUCT(('紐付け'!$A$4:$A$200=$A48)*('紐付け'!$C$4:$C$200&lt;&gt;"")*(COUNTIF('業務'!$C$4:$C$200,'紐付け'!$C$4:$C$200)=0))-AS48)</f>
        <v/>
      </c>
      <c r="AU48" s="22">
        <f>IF($A48="","",COUNTIF('契約'!$C$4:$C$200,$A48))</f>
        <v/>
      </c>
      <c r="AV48" s="22">
        <f>IF($A48="","",COUNTIFS('契約'!$C$4:$C$200,$A48,'契約'!$O$4:$O$200,"移管"))</f>
        <v/>
      </c>
      <c r="AW48" s="22">
        <f>IF($A48="","",COUNTIFS('契約'!$C$4:$C$200,$A48,'契約'!$O$4:$O$200,"一部"))</f>
        <v/>
      </c>
      <c r="AX48" s="22">
        <f>IF($A48="","",COUNTIFS('契約'!$C$4:$C$200,$A48,'契約'!$O$4:$O$200,"判定保留"))</f>
        <v/>
      </c>
      <c r="AY48" s="22">
        <f>IF($A48="","",COUNTIFS('契約'!$C$4:$C$200,$A48,'契約'!$O$4:$O$200,"留保"))</f>
        <v/>
      </c>
    </row>
    <row r="49">
      <c r="A49" s="17" t="n"/>
      <c r="B49" s="17" t="n"/>
      <c r="C49" s="17" t="n"/>
      <c r="D49" s="17" t="n"/>
      <c r="E49" s="17" t="n"/>
      <c r="F49" s="17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9">
        <f>IF(COUNT(G49:R49)=0,"",SUM(G49:R49))</f>
        <v/>
      </c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9">
        <f>IF(COUNT(T49:AE49)=0,"",SUM(T49:AE49))</f>
        <v/>
      </c>
      <c r="AG49" s="17" t="n"/>
      <c r="AH49" s="17" t="n"/>
      <c r="AI49" s="17" t="n"/>
      <c r="AJ49" s="17" t="n"/>
      <c r="AK49" s="17" t="n"/>
      <c r="AL49" s="22">
        <f>IF($A49="","",IF(OR(AM49="移管",AN49="移管"),"移管",IF(OR(AM49="一部",AN49="一部"),"一部",IF(OR(AM49="判定保留",AN49="判定保留"),"判定保留",IF(OR(AM49="留保",AN49="留保"),"留保","対象外")))))</f>
        <v/>
      </c>
      <c r="AM49" s="22">
        <f>IF($A49="","",IF(AU49=0,"対象外",IF(AV49=AU49,"移管",IF(AV49+AW49&gt;0,"一部",IF(AX49&gt;0,"判定保留",IF(AY49&gt;0,"留保","対象外"))))))</f>
        <v/>
      </c>
      <c r="AN49" s="22">
        <f>IF($A49="","",IF((AO49+AS49+AT49)=0,"対象外",IF(AP49=(AO49+AS49+AT49),"移管",IF(AP49&gt;0,"一部",IF(AR49+AT49&gt;0,"判定保留",IF(AQ49+AS49&gt;0,"留保","対象外"))))))</f>
        <v/>
      </c>
      <c r="AO49" s="22">
        <f>IF($A49="","",SUMPRODUCT((COUNTIFS('紐付け'!$A$4:$A$200,$A49,'紐付け'!$C$4:$C$200,'業務'!$C$4:$C$200)&gt;0)*('業務'!$A$4:$A$200&lt;&gt;"")))</f>
        <v/>
      </c>
      <c r="AP49" s="22">
        <f>IF($A49="","",SUMPRODUCT((COUNTIFS('紐付け'!$A$4:$A$200,$A49,'紐付け'!$C$4:$C$200,'業務'!$C$4:$C$200)&gt;0)*('業務'!$A$4:$A$200&lt;&gt;"")*('業務'!$P$4:$P$200="移管")))</f>
        <v/>
      </c>
      <c r="AQ49" s="22">
        <f>IF($A49="","",SUMPRODUCT((COUNTIFS('紐付け'!$A$4:$A$200,$A49,'紐付け'!$C$4:$C$200,'業務'!$C$4:$C$200)&gt;0)*('業務'!$A$4:$A$200&lt;&gt;"")*('業務'!$P$4:$P$200="留保")))</f>
        <v/>
      </c>
      <c r="AR49" s="22">
        <f>IF($A49="","",AO49-AP49-AQ49)</f>
        <v/>
      </c>
      <c r="AS49" s="22">
        <f>IF($A49="","",SUMPRODUCT(('紐付け'!$A$4:$A$200=$A49)*('紐付け'!$C$4:$C$200&lt;&gt;"")*(COUNTIF('業務'!$C$4:$C$200,'紐付け'!$C$4:$C$200)=0)*(COUNTIFS('システム'!$A$4:$A$200,'紐付け'!$C$4:$C$200,'システム'!$N$4:$N$200,"留保")&gt;0)))</f>
        <v/>
      </c>
      <c r="AT49" s="22">
        <f>IF($A49="","",SUMPRODUCT(('紐付け'!$A$4:$A$200=$A49)*('紐付け'!$C$4:$C$200&lt;&gt;"")*(COUNTIF('業務'!$C$4:$C$200,'紐付け'!$C$4:$C$200)=0))-AS49)</f>
        <v/>
      </c>
      <c r="AU49" s="22">
        <f>IF($A49="","",COUNTIF('契約'!$C$4:$C$200,$A49))</f>
        <v/>
      </c>
      <c r="AV49" s="22">
        <f>IF($A49="","",COUNTIFS('契約'!$C$4:$C$200,$A49,'契約'!$O$4:$O$200,"移管"))</f>
        <v/>
      </c>
      <c r="AW49" s="22">
        <f>IF($A49="","",COUNTIFS('契約'!$C$4:$C$200,$A49,'契約'!$O$4:$O$200,"一部"))</f>
        <v/>
      </c>
      <c r="AX49" s="22">
        <f>IF($A49="","",COUNTIFS('契約'!$C$4:$C$200,$A49,'契約'!$O$4:$O$200,"判定保留"))</f>
        <v/>
      </c>
      <c r="AY49" s="22">
        <f>IF($A49="","",COUNTIFS('契約'!$C$4:$C$200,$A49,'契約'!$O$4:$O$200,"留保"))</f>
        <v/>
      </c>
    </row>
    <row r="50">
      <c r="A50" s="17" t="n"/>
      <c r="B50" s="17" t="n"/>
      <c r="C50" s="17" t="n"/>
      <c r="D50" s="17" t="n"/>
      <c r="E50" s="17" t="n"/>
      <c r="F50" s="17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9">
        <f>IF(COUNT(G50:R50)=0,"",SUM(G50:R50))</f>
        <v/>
      </c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9">
        <f>IF(COUNT(T50:AE50)=0,"",SUM(T50:AE50))</f>
        <v/>
      </c>
      <c r="AG50" s="17" t="n"/>
      <c r="AH50" s="17" t="n"/>
      <c r="AI50" s="17" t="n"/>
      <c r="AJ50" s="17" t="n"/>
      <c r="AK50" s="17" t="n"/>
      <c r="AL50" s="22">
        <f>IF($A50="","",IF(OR(AM50="移管",AN50="移管"),"移管",IF(OR(AM50="一部",AN50="一部"),"一部",IF(OR(AM50="判定保留",AN50="判定保留"),"判定保留",IF(OR(AM50="留保",AN50="留保"),"留保","対象外")))))</f>
        <v/>
      </c>
      <c r="AM50" s="22">
        <f>IF($A50="","",IF(AU50=0,"対象外",IF(AV50=AU50,"移管",IF(AV50+AW50&gt;0,"一部",IF(AX50&gt;0,"判定保留",IF(AY50&gt;0,"留保","対象外"))))))</f>
        <v/>
      </c>
      <c r="AN50" s="22">
        <f>IF($A50="","",IF((AO50+AS50+AT50)=0,"対象外",IF(AP50=(AO50+AS50+AT50),"移管",IF(AP50&gt;0,"一部",IF(AR50+AT50&gt;0,"判定保留",IF(AQ50+AS50&gt;0,"留保","対象外"))))))</f>
        <v/>
      </c>
      <c r="AO50" s="22">
        <f>IF($A50="","",SUMPRODUCT((COUNTIFS('紐付け'!$A$4:$A$200,$A50,'紐付け'!$C$4:$C$200,'業務'!$C$4:$C$200)&gt;0)*('業務'!$A$4:$A$200&lt;&gt;"")))</f>
        <v/>
      </c>
      <c r="AP50" s="22">
        <f>IF($A50="","",SUMPRODUCT((COUNTIFS('紐付け'!$A$4:$A$200,$A50,'紐付け'!$C$4:$C$200,'業務'!$C$4:$C$200)&gt;0)*('業務'!$A$4:$A$200&lt;&gt;"")*('業務'!$P$4:$P$200="移管")))</f>
        <v/>
      </c>
      <c r="AQ50" s="22">
        <f>IF($A50="","",SUMPRODUCT((COUNTIFS('紐付け'!$A$4:$A$200,$A50,'紐付け'!$C$4:$C$200,'業務'!$C$4:$C$200)&gt;0)*('業務'!$A$4:$A$200&lt;&gt;"")*('業務'!$P$4:$P$200="留保")))</f>
        <v/>
      </c>
      <c r="AR50" s="22">
        <f>IF($A50="","",AO50-AP50-AQ50)</f>
        <v/>
      </c>
      <c r="AS50" s="22">
        <f>IF($A50="","",SUMPRODUCT(('紐付け'!$A$4:$A$200=$A50)*('紐付け'!$C$4:$C$200&lt;&gt;"")*(COUNTIF('業務'!$C$4:$C$200,'紐付け'!$C$4:$C$200)=0)*(COUNTIFS('システム'!$A$4:$A$200,'紐付け'!$C$4:$C$200,'システム'!$N$4:$N$200,"留保")&gt;0)))</f>
        <v/>
      </c>
      <c r="AT50" s="22">
        <f>IF($A50="","",SUMPRODUCT(('紐付け'!$A$4:$A$200=$A50)*('紐付け'!$C$4:$C$200&lt;&gt;"")*(COUNTIF('業務'!$C$4:$C$200,'紐付け'!$C$4:$C$200)=0))-AS50)</f>
        <v/>
      </c>
      <c r="AU50" s="22">
        <f>IF($A50="","",COUNTIF('契約'!$C$4:$C$200,$A50))</f>
        <v/>
      </c>
      <c r="AV50" s="22">
        <f>IF($A50="","",COUNTIFS('契約'!$C$4:$C$200,$A50,'契約'!$O$4:$O$200,"移管"))</f>
        <v/>
      </c>
      <c r="AW50" s="22">
        <f>IF($A50="","",COUNTIFS('契約'!$C$4:$C$200,$A50,'契約'!$O$4:$O$200,"一部"))</f>
        <v/>
      </c>
      <c r="AX50" s="22">
        <f>IF($A50="","",COUNTIFS('契約'!$C$4:$C$200,$A50,'契約'!$O$4:$O$200,"判定保留"))</f>
        <v/>
      </c>
      <c r="AY50" s="22">
        <f>IF($A50="","",COUNTIFS('契約'!$C$4:$C$200,$A50,'契約'!$O$4:$O$200,"留保"))</f>
        <v/>
      </c>
    </row>
    <row r="51">
      <c r="A51" s="17" t="n"/>
      <c r="B51" s="17" t="n"/>
      <c r="C51" s="17" t="n"/>
      <c r="D51" s="17" t="n"/>
      <c r="E51" s="17" t="n"/>
      <c r="F51" s="17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9">
        <f>IF(COUNT(G51:R51)=0,"",SUM(G51:R51))</f>
        <v/>
      </c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9">
        <f>IF(COUNT(T51:AE51)=0,"",SUM(T51:AE51))</f>
        <v/>
      </c>
      <c r="AG51" s="17" t="n"/>
      <c r="AH51" s="17" t="n"/>
      <c r="AI51" s="17" t="n"/>
      <c r="AJ51" s="17" t="n"/>
      <c r="AK51" s="17" t="n"/>
      <c r="AL51" s="22">
        <f>IF($A51="","",IF(OR(AM51="移管",AN51="移管"),"移管",IF(OR(AM51="一部",AN51="一部"),"一部",IF(OR(AM51="判定保留",AN51="判定保留"),"判定保留",IF(OR(AM51="留保",AN51="留保"),"留保","対象外")))))</f>
        <v/>
      </c>
      <c r="AM51" s="22">
        <f>IF($A51="","",IF(AU51=0,"対象外",IF(AV51=AU51,"移管",IF(AV51+AW51&gt;0,"一部",IF(AX51&gt;0,"判定保留",IF(AY51&gt;0,"留保","対象外"))))))</f>
        <v/>
      </c>
      <c r="AN51" s="22">
        <f>IF($A51="","",IF((AO51+AS51+AT51)=0,"対象外",IF(AP51=(AO51+AS51+AT51),"移管",IF(AP51&gt;0,"一部",IF(AR51+AT51&gt;0,"判定保留",IF(AQ51+AS51&gt;0,"留保","対象外"))))))</f>
        <v/>
      </c>
      <c r="AO51" s="22">
        <f>IF($A51="","",SUMPRODUCT((COUNTIFS('紐付け'!$A$4:$A$200,$A51,'紐付け'!$C$4:$C$200,'業務'!$C$4:$C$200)&gt;0)*('業務'!$A$4:$A$200&lt;&gt;"")))</f>
        <v/>
      </c>
      <c r="AP51" s="22">
        <f>IF($A51="","",SUMPRODUCT((COUNTIFS('紐付け'!$A$4:$A$200,$A51,'紐付け'!$C$4:$C$200,'業務'!$C$4:$C$200)&gt;0)*('業務'!$A$4:$A$200&lt;&gt;"")*('業務'!$P$4:$P$200="移管")))</f>
        <v/>
      </c>
      <c r="AQ51" s="22">
        <f>IF($A51="","",SUMPRODUCT((COUNTIFS('紐付け'!$A$4:$A$200,$A51,'紐付け'!$C$4:$C$200,'業務'!$C$4:$C$200)&gt;0)*('業務'!$A$4:$A$200&lt;&gt;"")*('業務'!$P$4:$P$200="留保")))</f>
        <v/>
      </c>
      <c r="AR51" s="22">
        <f>IF($A51="","",AO51-AP51-AQ51)</f>
        <v/>
      </c>
      <c r="AS51" s="22">
        <f>IF($A51="","",SUMPRODUCT(('紐付け'!$A$4:$A$200=$A51)*('紐付け'!$C$4:$C$200&lt;&gt;"")*(COUNTIF('業務'!$C$4:$C$200,'紐付け'!$C$4:$C$200)=0)*(COUNTIFS('システム'!$A$4:$A$200,'紐付け'!$C$4:$C$200,'システム'!$N$4:$N$200,"留保")&gt;0)))</f>
        <v/>
      </c>
      <c r="AT51" s="22">
        <f>IF($A51="","",SUMPRODUCT(('紐付け'!$A$4:$A$200=$A51)*('紐付け'!$C$4:$C$200&lt;&gt;"")*(COUNTIF('業務'!$C$4:$C$200,'紐付け'!$C$4:$C$200)=0))-AS51)</f>
        <v/>
      </c>
      <c r="AU51" s="22">
        <f>IF($A51="","",COUNTIF('契約'!$C$4:$C$200,$A51))</f>
        <v/>
      </c>
      <c r="AV51" s="22">
        <f>IF($A51="","",COUNTIFS('契約'!$C$4:$C$200,$A51,'契約'!$O$4:$O$200,"移管"))</f>
        <v/>
      </c>
      <c r="AW51" s="22">
        <f>IF($A51="","",COUNTIFS('契約'!$C$4:$C$200,$A51,'契約'!$O$4:$O$200,"一部"))</f>
        <v/>
      </c>
      <c r="AX51" s="22">
        <f>IF($A51="","",COUNTIFS('契約'!$C$4:$C$200,$A51,'契約'!$O$4:$O$200,"判定保留"))</f>
        <v/>
      </c>
      <c r="AY51" s="22">
        <f>IF($A51="","",COUNTIFS('契約'!$C$4:$C$200,$A51,'契約'!$O$4:$O$200,"留保"))</f>
        <v/>
      </c>
    </row>
    <row r="52">
      <c r="A52" s="17" t="n"/>
      <c r="B52" s="17" t="n"/>
      <c r="C52" s="17" t="n"/>
      <c r="D52" s="17" t="n"/>
      <c r="E52" s="17" t="n"/>
      <c r="F52" s="17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9">
        <f>IF(COUNT(G52:R52)=0,"",SUM(G52:R52))</f>
        <v/>
      </c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9">
        <f>IF(COUNT(T52:AE52)=0,"",SUM(T52:AE52))</f>
        <v/>
      </c>
      <c r="AG52" s="17" t="n"/>
      <c r="AH52" s="17" t="n"/>
      <c r="AI52" s="17" t="n"/>
      <c r="AJ52" s="17" t="n"/>
      <c r="AK52" s="17" t="n"/>
      <c r="AL52" s="22">
        <f>IF($A52="","",IF(OR(AM52="移管",AN52="移管"),"移管",IF(OR(AM52="一部",AN52="一部"),"一部",IF(OR(AM52="判定保留",AN52="判定保留"),"判定保留",IF(OR(AM52="留保",AN52="留保"),"留保","対象外")))))</f>
        <v/>
      </c>
      <c r="AM52" s="22">
        <f>IF($A52="","",IF(AU52=0,"対象外",IF(AV52=AU52,"移管",IF(AV52+AW52&gt;0,"一部",IF(AX52&gt;0,"判定保留",IF(AY52&gt;0,"留保","対象外"))))))</f>
        <v/>
      </c>
      <c r="AN52" s="22">
        <f>IF($A52="","",IF((AO52+AS52+AT52)=0,"対象外",IF(AP52=(AO52+AS52+AT52),"移管",IF(AP52&gt;0,"一部",IF(AR52+AT52&gt;0,"判定保留",IF(AQ52+AS52&gt;0,"留保","対象外"))))))</f>
        <v/>
      </c>
      <c r="AO52" s="22">
        <f>IF($A52="","",SUMPRODUCT((COUNTIFS('紐付け'!$A$4:$A$200,$A52,'紐付け'!$C$4:$C$200,'業務'!$C$4:$C$200)&gt;0)*('業務'!$A$4:$A$200&lt;&gt;"")))</f>
        <v/>
      </c>
      <c r="AP52" s="22">
        <f>IF($A52="","",SUMPRODUCT((COUNTIFS('紐付け'!$A$4:$A$200,$A52,'紐付け'!$C$4:$C$200,'業務'!$C$4:$C$200)&gt;0)*('業務'!$A$4:$A$200&lt;&gt;"")*('業務'!$P$4:$P$200="移管")))</f>
        <v/>
      </c>
      <c r="AQ52" s="22">
        <f>IF($A52="","",SUMPRODUCT((COUNTIFS('紐付け'!$A$4:$A$200,$A52,'紐付け'!$C$4:$C$200,'業務'!$C$4:$C$200)&gt;0)*('業務'!$A$4:$A$200&lt;&gt;"")*('業務'!$P$4:$P$200="留保")))</f>
        <v/>
      </c>
      <c r="AR52" s="22">
        <f>IF($A52="","",AO52-AP52-AQ52)</f>
        <v/>
      </c>
      <c r="AS52" s="22">
        <f>IF($A52="","",SUMPRODUCT(('紐付け'!$A$4:$A$200=$A52)*('紐付け'!$C$4:$C$200&lt;&gt;"")*(COUNTIF('業務'!$C$4:$C$200,'紐付け'!$C$4:$C$200)=0)*(COUNTIFS('システム'!$A$4:$A$200,'紐付け'!$C$4:$C$200,'システム'!$N$4:$N$200,"留保")&gt;0)))</f>
        <v/>
      </c>
      <c r="AT52" s="22">
        <f>IF($A52="","",SUMPRODUCT(('紐付け'!$A$4:$A$200=$A52)*('紐付け'!$C$4:$C$200&lt;&gt;"")*(COUNTIF('業務'!$C$4:$C$200,'紐付け'!$C$4:$C$200)=0))-AS52)</f>
        <v/>
      </c>
      <c r="AU52" s="22">
        <f>IF($A52="","",COUNTIF('契約'!$C$4:$C$200,$A52))</f>
        <v/>
      </c>
      <c r="AV52" s="22">
        <f>IF($A52="","",COUNTIFS('契約'!$C$4:$C$200,$A52,'契約'!$O$4:$O$200,"移管"))</f>
        <v/>
      </c>
      <c r="AW52" s="22">
        <f>IF($A52="","",COUNTIFS('契約'!$C$4:$C$200,$A52,'契約'!$O$4:$O$200,"一部"))</f>
        <v/>
      </c>
      <c r="AX52" s="22">
        <f>IF($A52="","",COUNTIFS('契約'!$C$4:$C$200,$A52,'契約'!$O$4:$O$200,"判定保留"))</f>
        <v/>
      </c>
      <c r="AY52" s="22">
        <f>IF($A52="","",COUNTIFS('契約'!$C$4:$C$200,$A52,'契約'!$O$4:$O$200,"留保"))</f>
        <v/>
      </c>
    </row>
    <row r="53">
      <c r="A53" s="17" t="n"/>
      <c r="B53" s="17" t="n"/>
      <c r="C53" s="17" t="n"/>
      <c r="D53" s="17" t="n"/>
      <c r="E53" s="17" t="n"/>
      <c r="F53" s="17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9">
        <f>IF(COUNT(G53:R53)=0,"",SUM(G53:R53))</f>
        <v/>
      </c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9">
        <f>IF(COUNT(T53:AE53)=0,"",SUM(T53:AE53))</f>
        <v/>
      </c>
      <c r="AG53" s="17" t="n"/>
      <c r="AH53" s="17" t="n"/>
      <c r="AI53" s="17" t="n"/>
      <c r="AJ53" s="17" t="n"/>
      <c r="AK53" s="17" t="n"/>
      <c r="AL53" s="22">
        <f>IF($A53="","",IF(OR(AM53="移管",AN53="移管"),"移管",IF(OR(AM53="一部",AN53="一部"),"一部",IF(OR(AM53="判定保留",AN53="判定保留"),"判定保留",IF(OR(AM53="留保",AN53="留保"),"留保","対象外")))))</f>
        <v/>
      </c>
      <c r="AM53" s="22">
        <f>IF($A53="","",IF(AU53=0,"対象外",IF(AV53=AU53,"移管",IF(AV53+AW53&gt;0,"一部",IF(AX53&gt;0,"判定保留",IF(AY53&gt;0,"留保","対象外"))))))</f>
        <v/>
      </c>
      <c r="AN53" s="22">
        <f>IF($A53="","",IF((AO53+AS53+AT53)=0,"対象外",IF(AP53=(AO53+AS53+AT53),"移管",IF(AP53&gt;0,"一部",IF(AR53+AT53&gt;0,"判定保留",IF(AQ53+AS53&gt;0,"留保","対象外"))))))</f>
        <v/>
      </c>
      <c r="AO53" s="22">
        <f>IF($A53="","",SUMPRODUCT((COUNTIFS('紐付け'!$A$4:$A$200,$A53,'紐付け'!$C$4:$C$200,'業務'!$C$4:$C$200)&gt;0)*('業務'!$A$4:$A$200&lt;&gt;"")))</f>
        <v/>
      </c>
      <c r="AP53" s="22">
        <f>IF($A53="","",SUMPRODUCT((COUNTIFS('紐付け'!$A$4:$A$200,$A53,'紐付け'!$C$4:$C$200,'業務'!$C$4:$C$200)&gt;0)*('業務'!$A$4:$A$200&lt;&gt;"")*('業務'!$P$4:$P$200="移管")))</f>
        <v/>
      </c>
      <c r="AQ53" s="22">
        <f>IF($A53="","",SUMPRODUCT((COUNTIFS('紐付け'!$A$4:$A$200,$A53,'紐付け'!$C$4:$C$200,'業務'!$C$4:$C$200)&gt;0)*('業務'!$A$4:$A$200&lt;&gt;"")*('業務'!$P$4:$P$200="留保")))</f>
        <v/>
      </c>
      <c r="AR53" s="22">
        <f>IF($A53="","",AO53-AP53-AQ53)</f>
        <v/>
      </c>
      <c r="AS53" s="22">
        <f>IF($A53="","",SUMPRODUCT(('紐付け'!$A$4:$A$200=$A53)*('紐付け'!$C$4:$C$200&lt;&gt;"")*(COUNTIF('業務'!$C$4:$C$200,'紐付け'!$C$4:$C$200)=0)*(COUNTIFS('システム'!$A$4:$A$200,'紐付け'!$C$4:$C$200,'システム'!$N$4:$N$200,"留保")&gt;0)))</f>
        <v/>
      </c>
      <c r="AT53" s="22">
        <f>IF($A53="","",SUMPRODUCT(('紐付け'!$A$4:$A$200=$A53)*('紐付け'!$C$4:$C$200&lt;&gt;"")*(COUNTIF('業務'!$C$4:$C$200,'紐付け'!$C$4:$C$200)=0))-AS53)</f>
        <v/>
      </c>
      <c r="AU53" s="22">
        <f>IF($A53="","",COUNTIF('契約'!$C$4:$C$200,$A53))</f>
        <v/>
      </c>
      <c r="AV53" s="22">
        <f>IF($A53="","",COUNTIFS('契約'!$C$4:$C$200,$A53,'契約'!$O$4:$O$200,"移管"))</f>
        <v/>
      </c>
      <c r="AW53" s="22">
        <f>IF($A53="","",COUNTIFS('契約'!$C$4:$C$200,$A53,'契約'!$O$4:$O$200,"一部"))</f>
        <v/>
      </c>
      <c r="AX53" s="22">
        <f>IF($A53="","",COUNTIFS('契約'!$C$4:$C$200,$A53,'契約'!$O$4:$O$200,"判定保留"))</f>
        <v/>
      </c>
      <c r="AY53" s="22">
        <f>IF($A53="","",COUNTIFS('契約'!$C$4:$C$200,$A53,'契約'!$O$4:$O$200,"留保"))</f>
        <v/>
      </c>
    </row>
    <row r="54">
      <c r="A54" s="17" t="n"/>
      <c r="B54" s="17" t="n"/>
      <c r="C54" s="17" t="n"/>
      <c r="D54" s="17" t="n"/>
      <c r="E54" s="17" t="n"/>
      <c r="F54" s="17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9">
        <f>IF(COUNT(G54:R54)=0,"",SUM(G54:R54))</f>
        <v/>
      </c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9">
        <f>IF(COUNT(T54:AE54)=0,"",SUM(T54:AE54))</f>
        <v/>
      </c>
      <c r="AG54" s="17" t="n"/>
      <c r="AH54" s="17" t="n"/>
      <c r="AI54" s="17" t="n"/>
      <c r="AJ54" s="17" t="n"/>
      <c r="AK54" s="17" t="n"/>
      <c r="AL54" s="22">
        <f>IF($A54="","",IF(OR(AM54="移管",AN54="移管"),"移管",IF(OR(AM54="一部",AN54="一部"),"一部",IF(OR(AM54="判定保留",AN54="判定保留"),"判定保留",IF(OR(AM54="留保",AN54="留保"),"留保","対象外")))))</f>
        <v/>
      </c>
      <c r="AM54" s="22">
        <f>IF($A54="","",IF(AU54=0,"対象外",IF(AV54=AU54,"移管",IF(AV54+AW54&gt;0,"一部",IF(AX54&gt;0,"判定保留",IF(AY54&gt;0,"留保","対象外"))))))</f>
        <v/>
      </c>
      <c r="AN54" s="22">
        <f>IF($A54="","",IF((AO54+AS54+AT54)=0,"対象外",IF(AP54=(AO54+AS54+AT54),"移管",IF(AP54&gt;0,"一部",IF(AR54+AT54&gt;0,"判定保留",IF(AQ54+AS54&gt;0,"留保","対象外"))))))</f>
        <v/>
      </c>
      <c r="AO54" s="22">
        <f>IF($A54="","",SUMPRODUCT((COUNTIFS('紐付け'!$A$4:$A$200,$A54,'紐付け'!$C$4:$C$200,'業務'!$C$4:$C$200)&gt;0)*('業務'!$A$4:$A$200&lt;&gt;"")))</f>
        <v/>
      </c>
      <c r="AP54" s="22">
        <f>IF($A54="","",SUMPRODUCT((COUNTIFS('紐付け'!$A$4:$A$200,$A54,'紐付け'!$C$4:$C$200,'業務'!$C$4:$C$200)&gt;0)*('業務'!$A$4:$A$200&lt;&gt;"")*('業務'!$P$4:$P$200="移管")))</f>
        <v/>
      </c>
      <c r="AQ54" s="22">
        <f>IF($A54="","",SUMPRODUCT((COUNTIFS('紐付け'!$A$4:$A$200,$A54,'紐付け'!$C$4:$C$200,'業務'!$C$4:$C$200)&gt;0)*('業務'!$A$4:$A$200&lt;&gt;"")*('業務'!$P$4:$P$200="留保")))</f>
        <v/>
      </c>
      <c r="AR54" s="22">
        <f>IF($A54="","",AO54-AP54-AQ54)</f>
        <v/>
      </c>
      <c r="AS54" s="22">
        <f>IF($A54="","",SUMPRODUCT(('紐付け'!$A$4:$A$200=$A54)*('紐付け'!$C$4:$C$200&lt;&gt;"")*(COUNTIF('業務'!$C$4:$C$200,'紐付け'!$C$4:$C$200)=0)*(COUNTIFS('システム'!$A$4:$A$200,'紐付け'!$C$4:$C$200,'システム'!$N$4:$N$200,"留保")&gt;0)))</f>
        <v/>
      </c>
      <c r="AT54" s="22">
        <f>IF($A54="","",SUMPRODUCT(('紐付け'!$A$4:$A$200=$A54)*('紐付け'!$C$4:$C$200&lt;&gt;"")*(COUNTIF('業務'!$C$4:$C$200,'紐付け'!$C$4:$C$200)=0))-AS54)</f>
        <v/>
      </c>
      <c r="AU54" s="22">
        <f>IF($A54="","",COUNTIF('契約'!$C$4:$C$200,$A54))</f>
        <v/>
      </c>
      <c r="AV54" s="22">
        <f>IF($A54="","",COUNTIFS('契約'!$C$4:$C$200,$A54,'契約'!$O$4:$O$200,"移管"))</f>
        <v/>
      </c>
      <c r="AW54" s="22">
        <f>IF($A54="","",COUNTIFS('契約'!$C$4:$C$200,$A54,'契約'!$O$4:$O$200,"一部"))</f>
        <v/>
      </c>
      <c r="AX54" s="22">
        <f>IF($A54="","",COUNTIFS('契約'!$C$4:$C$200,$A54,'契約'!$O$4:$O$200,"判定保留"))</f>
        <v/>
      </c>
      <c r="AY54" s="22">
        <f>IF($A54="","",COUNTIFS('契約'!$C$4:$C$200,$A54,'契約'!$O$4:$O$200,"留保"))</f>
        <v/>
      </c>
    </row>
    <row r="55">
      <c r="A55" s="17" t="n"/>
      <c r="B55" s="17" t="n"/>
      <c r="C55" s="17" t="n"/>
      <c r="D55" s="17" t="n"/>
      <c r="E55" s="17" t="n"/>
      <c r="F55" s="17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9">
        <f>IF(COUNT(G55:R55)=0,"",SUM(G55:R55))</f>
        <v/>
      </c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9">
        <f>IF(COUNT(T55:AE55)=0,"",SUM(T55:AE55))</f>
        <v/>
      </c>
      <c r="AG55" s="17" t="n"/>
      <c r="AH55" s="17" t="n"/>
      <c r="AI55" s="17" t="n"/>
      <c r="AJ55" s="17" t="n"/>
      <c r="AK55" s="17" t="n"/>
      <c r="AL55" s="22">
        <f>IF($A55="","",IF(OR(AM55="移管",AN55="移管"),"移管",IF(OR(AM55="一部",AN55="一部"),"一部",IF(OR(AM55="判定保留",AN55="判定保留"),"判定保留",IF(OR(AM55="留保",AN55="留保"),"留保","対象外")))))</f>
        <v/>
      </c>
      <c r="AM55" s="22">
        <f>IF($A55="","",IF(AU55=0,"対象外",IF(AV55=AU55,"移管",IF(AV55+AW55&gt;0,"一部",IF(AX55&gt;0,"判定保留",IF(AY55&gt;0,"留保","対象外"))))))</f>
        <v/>
      </c>
      <c r="AN55" s="22">
        <f>IF($A55="","",IF((AO55+AS55+AT55)=0,"対象外",IF(AP55=(AO55+AS55+AT55),"移管",IF(AP55&gt;0,"一部",IF(AR55+AT55&gt;0,"判定保留",IF(AQ55+AS55&gt;0,"留保","対象外"))))))</f>
        <v/>
      </c>
      <c r="AO55" s="22">
        <f>IF($A55="","",SUMPRODUCT((COUNTIFS('紐付け'!$A$4:$A$200,$A55,'紐付け'!$C$4:$C$200,'業務'!$C$4:$C$200)&gt;0)*('業務'!$A$4:$A$200&lt;&gt;"")))</f>
        <v/>
      </c>
      <c r="AP55" s="22">
        <f>IF($A55="","",SUMPRODUCT((COUNTIFS('紐付け'!$A$4:$A$200,$A55,'紐付け'!$C$4:$C$200,'業務'!$C$4:$C$200)&gt;0)*('業務'!$A$4:$A$200&lt;&gt;"")*('業務'!$P$4:$P$200="移管")))</f>
        <v/>
      </c>
      <c r="AQ55" s="22">
        <f>IF($A55="","",SUMPRODUCT((COUNTIFS('紐付け'!$A$4:$A$200,$A55,'紐付け'!$C$4:$C$200,'業務'!$C$4:$C$200)&gt;0)*('業務'!$A$4:$A$200&lt;&gt;"")*('業務'!$P$4:$P$200="留保")))</f>
        <v/>
      </c>
      <c r="AR55" s="22">
        <f>IF($A55="","",AO55-AP55-AQ55)</f>
        <v/>
      </c>
      <c r="AS55" s="22">
        <f>IF($A55="","",SUMPRODUCT(('紐付け'!$A$4:$A$200=$A55)*('紐付け'!$C$4:$C$200&lt;&gt;"")*(COUNTIF('業務'!$C$4:$C$200,'紐付け'!$C$4:$C$200)=0)*(COUNTIFS('システム'!$A$4:$A$200,'紐付け'!$C$4:$C$200,'システム'!$N$4:$N$200,"留保")&gt;0)))</f>
        <v/>
      </c>
      <c r="AT55" s="22">
        <f>IF($A55="","",SUMPRODUCT(('紐付け'!$A$4:$A$200=$A55)*('紐付け'!$C$4:$C$200&lt;&gt;"")*(COUNTIF('業務'!$C$4:$C$200,'紐付け'!$C$4:$C$200)=0))-AS55)</f>
        <v/>
      </c>
      <c r="AU55" s="22">
        <f>IF($A55="","",COUNTIF('契約'!$C$4:$C$200,$A55))</f>
        <v/>
      </c>
      <c r="AV55" s="22">
        <f>IF($A55="","",COUNTIFS('契約'!$C$4:$C$200,$A55,'契約'!$O$4:$O$200,"移管"))</f>
        <v/>
      </c>
      <c r="AW55" s="22">
        <f>IF($A55="","",COUNTIFS('契約'!$C$4:$C$200,$A55,'契約'!$O$4:$O$200,"一部"))</f>
        <v/>
      </c>
      <c r="AX55" s="22">
        <f>IF($A55="","",COUNTIFS('契約'!$C$4:$C$200,$A55,'契約'!$O$4:$O$200,"判定保留"))</f>
        <v/>
      </c>
      <c r="AY55" s="22">
        <f>IF($A55="","",COUNTIFS('契約'!$C$4:$C$200,$A55,'契約'!$O$4:$O$200,"留保"))</f>
        <v/>
      </c>
    </row>
    <row r="56">
      <c r="A56" s="17" t="n"/>
      <c r="B56" s="17" t="n"/>
      <c r="C56" s="17" t="n"/>
      <c r="D56" s="17" t="n"/>
      <c r="E56" s="17" t="n"/>
      <c r="F56" s="17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9">
        <f>IF(COUNT(G56:R56)=0,"",SUM(G56:R56))</f>
        <v/>
      </c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9">
        <f>IF(COUNT(T56:AE56)=0,"",SUM(T56:AE56))</f>
        <v/>
      </c>
      <c r="AG56" s="17" t="n"/>
      <c r="AH56" s="17" t="n"/>
      <c r="AI56" s="17" t="n"/>
      <c r="AJ56" s="17" t="n"/>
      <c r="AK56" s="17" t="n"/>
      <c r="AL56" s="22">
        <f>IF($A56="","",IF(OR(AM56="移管",AN56="移管"),"移管",IF(OR(AM56="一部",AN56="一部"),"一部",IF(OR(AM56="判定保留",AN56="判定保留"),"判定保留",IF(OR(AM56="留保",AN56="留保"),"留保","対象外")))))</f>
        <v/>
      </c>
      <c r="AM56" s="22">
        <f>IF($A56="","",IF(AU56=0,"対象外",IF(AV56=AU56,"移管",IF(AV56+AW56&gt;0,"一部",IF(AX56&gt;0,"判定保留",IF(AY56&gt;0,"留保","対象外"))))))</f>
        <v/>
      </c>
      <c r="AN56" s="22">
        <f>IF($A56="","",IF((AO56+AS56+AT56)=0,"対象外",IF(AP56=(AO56+AS56+AT56),"移管",IF(AP56&gt;0,"一部",IF(AR56+AT56&gt;0,"判定保留",IF(AQ56+AS56&gt;0,"留保","対象外"))))))</f>
        <v/>
      </c>
      <c r="AO56" s="22">
        <f>IF($A56="","",SUMPRODUCT((COUNTIFS('紐付け'!$A$4:$A$200,$A56,'紐付け'!$C$4:$C$200,'業務'!$C$4:$C$200)&gt;0)*('業務'!$A$4:$A$200&lt;&gt;"")))</f>
        <v/>
      </c>
      <c r="AP56" s="22">
        <f>IF($A56="","",SUMPRODUCT((COUNTIFS('紐付け'!$A$4:$A$200,$A56,'紐付け'!$C$4:$C$200,'業務'!$C$4:$C$200)&gt;0)*('業務'!$A$4:$A$200&lt;&gt;"")*('業務'!$P$4:$P$200="移管")))</f>
        <v/>
      </c>
      <c r="AQ56" s="22">
        <f>IF($A56="","",SUMPRODUCT((COUNTIFS('紐付け'!$A$4:$A$200,$A56,'紐付け'!$C$4:$C$200,'業務'!$C$4:$C$200)&gt;0)*('業務'!$A$4:$A$200&lt;&gt;"")*('業務'!$P$4:$P$200="留保")))</f>
        <v/>
      </c>
      <c r="AR56" s="22">
        <f>IF($A56="","",AO56-AP56-AQ56)</f>
        <v/>
      </c>
      <c r="AS56" s="22">
        <f>IF($A56="","",SUMPRODUCT(('紐付け'!$A$4:$A$200=$A56)*('紐付け'!$C$4:$C$200&lt;&gt;"")*(COUNTIF('業務'!$C$4:$C$200,'紐付け'!$C$4:$C$200)=0)*(COUNTIFS('システム'!$A$4:$A$200,'紐付け'!$C$4:$C$200,'システム'!$N$4:$N$200,"留保")&gt;0)))</f>
        <v/>
      </c>
      <c r="AT56" s="22">
        <f>IF($A56="","",SUMPRODUCT(('紐付け'!$A$4:$A$200=$A56)*('紐付け'!$C$4:$C$200&lt;&gt;"")*(COUNTIF('業務'!$C$4:$C$200,'紐付け'!$C$4:$C$200)=0))-AS56)</f>
        <v/>
      </c>
      <c r="AU56" s="22">
        <f>IF($A56="","",COUNTIF('契約'!$C$4:$C$200,$A56))</f>
        <v/>
      </c>
      <c r="AV56" s="22">
        <f>IF($A56="","",COUNTIFS('契約'!$C$4:$C$200,$A56,'契約'!$O$4:$O$200,"移管"))</f>
        <v/>
      </c>
      <c r="AW56" s="22">
        <f>IF($A56="","",COUNTIFS('契約'!$C$4:$C$200,$A56,'契約'!$O$4:$O$200,"一部"))</f>
        <v/>
      </c>
      <c r="AX56" s="22">
        <f>IF($A56="","",COUNTIFS('契約'!$C$4:$C$200,$A56,'契約'!$O$4:$O$200,"判定保留"))</f>
        <v/>
      </c>
      <c r="AY56" s="22">
        <f>IF($A56="","",COUNTIFS('契約'!$C$4:$C$200,$A56,'契約'!$O$4:$O$200,"留保"))</f>
        <v/>
      </c>
    </row>
    <row r="57">
      <c r="A57" s="17" t="n"/>
      <c r="B57" s="17" t="n"/>
      <c r="C57" s="17" t="n"/>
      <c r="D57" s="17" t="n"/>
      <c r="E57" s="17" t="n"/>
      <c r="F57" s="17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9">
        <f>IF(COUNT(G57:R57)=0,"",SUM(G57:R57))</f>
        <v/>
      </c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9">
        <f>IF(COUNT(T57:AE57)=0,"",SUM(T57:AE57))</f>
        <v/>
      </c>
      <c r="AG57" s="17" t="n"/>
      <c r="AH57" s="17" t="n"/>
      <c r="AI57" s="17" t="n"/>
      <c r="AJ57" s="17" t="n"/>
      <c r="AK57" s="17" t="n"/>
      <c r="AL57" s="22">
        <f>IF($A57="","",IF(OR(AM57="移管",AN57="移管"),"移管",IF(OR(AM57="一部",AN57="一部"),"一部",IF(OR(AM57="判定保留",AN57="判定保留"),"判定保留",IF(OR(AM57="留保",AN57="留保"),"留保","対象外")))))</f>
        <v/>
      </c>
      <c r="AM57" s="22">
        <f>IF($A57="","",IF(AU57=0,"対象外",IF(AV57=AU57,"移管",IF(AV57+AW57&gt;0,"一部",IF(AX57&gt;0,"判定保留",IF(AY57&gt;0,"留保","対象外"))))))</f>
        <v/>
      </c>
      <c r="AN57" s="22">
        <f>IF($A57="","",IF((AO57+AS57+AT57)=0,"対象外",IF(AP57=(AO57+AS57+AT57),"移管",IF(AP57&gt;0,"一部",IF(AR57+AT57&gt;0,"判定保留",IF(AQ57+AS57&gt;0,"留保","対象外"))))))</f>
        <v/>
      </c>
      <c r="AO57" s="22">
        <f>IF($A57="","",SUMPRODUCT((COUNTIFS('紐付け'!$A$4:$A$200,$A57,'紐付け'!$C$4:$C$200,'業務'!$C$4:$C$200)&gt;0)*('業務'!$A$4:$A$200&lt;&gt;"")))</f>
        <v/>
      </c>
      <c r="AP57" s="22">
        <f>IF($A57="","",SUMPRODUCT((COUNTIFS('紐付け'!$A$4:$A$200,$A57,'紐付け'!$C$4:$C$200,'業務'!$C$4:$C$200)&gt;0)*('業務'!$A$4:$A$200&lt;&gt;"")*('業務'!$P$4:$P$200="移管")))</f>
        <v/>
      </c>
      <c r="AQ57" s="22">
        <f>IF($A57="","",SUMPRODUCT((COUNTIFS('紐付け'!$A$4:$A$200,$A57,'紐付け'!$C$4:$C$200,'業務'!$C$4:$C$200)&gt;0)*('業務'!$A$4:$A$200&lt;&gt;"")*('業務'!$P$4:$P$200="留保")))</f>
        <v/>
      </c>
      <c r="AR57" s="22">
        <f>IF($A57="","",AO57-AP57-AQ57)</f>
        <v/>
      </c>
      <c r="AS57" s="22">
        <f>IF($A57="","",SUMPRODUCT(('紐付け'!$A$4:$A$200=$A57)*('紐付け'!$C$4:$C$200&lt;&gt;"")*(COUNTIF('業務'!$C$4:$C$200,'紐付け'!$C$4:$C$200)=0)*(COUNTIFS('システム'!$A$4:$A$200,'紐付け'!$C$4:$C$200,'システム'!$N$4:$N$200,"留保")&gt;0)))</f>
        <v/>
      </c>
      <c r="AT57" s="22">
        <f>IF($A57="","",SUMPRODUCT(('紐付け'!$A$4:$A$200=$A57)*('紐付け'!$C$4:$C$200&lt;&gt;"")*(COUNTIF('業務'!$C$4:$C$200,'紐付け'!$C$4:$C$200)=0))-AS57)</f>
        <v/>
      </c>
      <c r="AU57" s="22">
        <f>IF($A57="","",COUNTIF('契約'!$C$4:$C$200,$A57))</f>
        <v/>
      </c>
      <c r="AV57" s="22">
        <f>IF($A57="","",COUNTIFS('契約'!$C$4:$C$200,$A57,'契約'!$O$4:$O$200,"移管"))</f>
        <v/>
      </c>
      <c r="AW57" s="22">
        <f>IF($A57="","",COUNTIFS('契約'!$C$4:$C$200,$A57,'契約'!$O$4:$O$200,"一部"))</f>
        <v/>
      </c>
      <c r="AX57" s="22">
        <f>IF($A57="","",COUNTIFS('契約'!$C$4:$C$200,$A57,'契約'!$O$4:$O$200,"判定保留"))</f>
        <v/>
      </c>
      <c r="AY57" s="22">
        <f>IF($A57="","",COUNTIFS('契約'!$C$4:$C$200,$A57,'契約'!$O$4:$O$200,"留保"))</f>
        <v/>
      </c>
    </row>
    <row r="58">
      <c r="A58" s="17" t="n"/>
      <c r="B58" s="17" t="n"/>
      <c r="C58" s="17" t="n"/>
      <c r="D58" s="17" t="n"/>
      <c r="E58" s="17" t="n"/>
      <c r="F58" s="17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9">
        <f>IF(COUNT(G58:R58)=0,"",SUM(G58:R58))</f>
        <v/>
      </c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9">
        <f>IF(COUNT(T58:AE58)=0,"",SUM(T58:AE58))</f>
        <v/>
      </c>
      <c r="AG58" s="17" t="n"/>
      <c r="AH58" s="17" t="n"/>
      <c r="AI58" s="17" t="n"/>
      <c r="AJ58" s="17" t="n"/>
      <c r="AK58" s="17" t="n"/>
      <c r="AL58" s="22">
        <f>IF($A58="","",IF(OR(AM58="移管",AN58="移管"),"移管",IF(OR(AM58="一部",AN58="一部"),"一部",IF(OR(AM58="判定保留",AN58="判定保留"),"判定保留",IF(OR(AM58="留保",AN58="留保"),"留保","対象外")))))</f>
        <v/>
      </c>
      <c r="AM58" s="22">
        <f>IF($A58="","",IF(AU58=0,"対象外",IF(AV58=AU58,"移管",IF(AV58+AW58&gt;0,"一部",IF(AX58&gt;0,"判定保留",IF(AY58&gt;0,"留保","対象外"))))))</f>
        <v/>
      </c>
      <c r="AN58" s="22">
        <f>IF($A58="","",IF((AO58+AS58+AT58)=0,"対象外",IF(AP58=(AO58+AS58+AT58),"移管",IF(AP58&gt;0,"一部",IF(AR58+AT58&gt;0,"判定保留",IF(AQ58+AS58&gt;0,"留保","対象外"))))))</f>
        <v/>
      </c>
      <c r="AO58" s="22">
        <f>IF($A58="","",SUMPRODUCT((COUNTIFS('紐付け'!$A$4:$A$200,$A58,'紐付け'!$C$4:$C$200,'業務'!$C$4:$C$200)&gt;0)*('業務'!$A$4:$A$200&lt;&gt;"")))</f>
        <v/>
      </c>
      <c r="AP58" s="22">
        <f>IF($A58="","",SUMPRODUCT((COUNTIFS('紐付け'!$A$4:$A$200,$A58,'紐付け'!$C$4:$C$200,'業務'!$C$4:$C$200)&gt;0)*('業務'!$A$4:$A$200&lt;&gt;"")*('業務'!$P$4:$P$200="移管")))</f>
        <v/>
      </c>
      <c r="AQ58" s="22">
        <f>IF($A58="","",SUMPRODUCT((COUNTIFS('紐付け'!$A$4:$A$200,$A58,'紐付け'!$C$4:$C$200,'業務'!$C$4:$C$200)&gt;0)*('業務'!$A$4:$A$200&lt;&gt;"")*('業務'!$P$4:$P$200="留保")))</f>
        <v/>
      </c>
      <c r="AR58" s="22">
        <f>IF($A58="","",AO58-AP58-AQ58)</f>
        <v/>
      </c>
      <c r="AS58" s="22">
        <f>IF($A58="","",SUMPRODUCT(('紐付け'!$A$4:$A$200=$A58)*('紐付け'!$C$4:$C$200&lt;&gt;"")*(COUNTIF('業務'!$C$4:$C$200,'紐付け'!$C$4:$C$200)=0)*(COUNTIFS('システム'!$A$4:$A$200,'紐付け'!$C$4:$C$200,'システム'!$N$4:$N$200,"留保")&gt;0)))</f>
        <v/>
      </c>
      <c r="AT58" s="22">
        <f>IF($A58="","",SUMPRODUCT(('紐付け'!$A$4:$A$200=$A58)*('紐付け'!$C$4:$C$200&lt;&gt;"")*(COUNTIF('業務'!$C$4:$C$200,'紐付け'!$C$4:$C$200)=0))-AS58)</f>
        <v/>
      </c>
      <c r="AU58" s="22">
        <f>IF($A58="","",COUNTIF('契約'!$C$4:$C$200,$A58))</f>
        <v/>
      </c>
      <c r="AV58" s="22">
        <f>IF($A58="","",COUNTIFS('契約'!$C$4:$C$200,$A58,'契約'!$O$4:$O$200,"移管"))</f>
        <v/>
      </c>
      <c r="AW58" s="22">
        <f>IF($A58="","",COUNTIFS('契約'!$C$4:$C$200,$A58,'契約'!$O$4:$O$200,"一部"))</f>
        <v/>
      </c>
      <c r="AX58" s="22">
        <f>IF($A58="","",COUNTIFS('契約'!$C$4:$C$200,$A58,'契約'!$O$4:$O$200,"判定保留"))</f>
        <v/>
      </c>
      <c r="AY58" s="22">
        <f>IF($A58="","",COUNTIFS('契約'!$C$4:$C$200,$A58,'契約'!$O$4:$O$200,"留保"))</f>
        <v/>
      </c>
    </row>
    <row r="59">
      <c r="A59" s="17" t="n"/>
      <c r="B59" s="17" t="n"/>
      <c r="C59" s="17" t="n"/>
      <c r="D59" s="17" t="n"/>
      <c r="E59" s="17" t="n"/>
      <c r="F59" s="17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9">
        <f>IF(COUNT(G59:R59)=0,"",SUM(G59:R59))</f>
        <v/>
      </c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9">
        <f>IF(COUNT(T59:AE59)=0,"",SUM(T59:AE59))</f>
        <v/>
      </c>
      <c r="AG59" s="17" t="n"/>
      <c r="AH59" s="17" t="n"/>
      <c r="AI59" s="17" t="n"/>
      <c r="AJ59" s="17" t="n"/>
      <c r="AK59" s="17" t="n"/>
      <c r="AL59" s="22">
        <f>IF($A59="","",IF(OR(AM59="移管",AN59="移管"),"移管",IF(OR(AM59="一部",AN59="一部"),"一部",IF(OR(AM59="判定保留",AN59="判定保留"),"判定保留",IF(OR(AM59="留保",AN59="留保"),"留保","対象外")))))</f>
        <v/>
      </c>
      <c r="AM59" s="22">
        <f>IF($A59="","",IF(AU59=0,"対象外",IF(AV59=AU59,"移管",IF(AV59+AW59&gt;0,"一部",IF(AX59&gt;0,"判定保留",IF(AY59&gt;0,"留保","対象外"))))))</f>
        <v/>
      </c>
      <c r="AN59" s="22">
        <f>IF($A59="","",IF((AO59+AS59+AT59)=0,"対象外",IF(AP59=(AO59+AS59+AT59),"移管",IF(AP59&gt;0,"一部",IF(AR59+AT59&gt;0,"判定保留",IF(AQ59+AS59&gt;0,"留保","対象外"))))))</f>
        <v/>
      </c>
      <c r="AO59" s="22">
        <f>IF($A59="","",SUMPRODUCT((COUNTIFS('紐付け'!$A$4:$A$200,$A59,'紐付け'!$C$4:$C$200,'業務'!$C$4:$C$200)&gt;0)*('業務'!$A$4:$A$200&lt;&gt;"")))</f>
        <v/>
      </c>
      <c r="AP59" s="22">
        <f>IF($A59="","",SUMPRODUCT((COUNTIFS('紐付け'!$A$4:$A$200,$A59,'紐付け'!$C$4:$C$200,'業務'!$C$4:$C$200)&gt;0)*('業務'!$A$4:$A$200&lt;&gt;"")*('業務'!$P$4:$P$200="移管")))</f>
        <v/>
      </c>
      <c r="AQ59" s="22">
        <f>IF($A59="","",SUMPRODUCT((COUNTIFS('紐付け'!$A$4:$A$200,$A59,'紐付け'!$C$4:$C$200,'業務'!$C$4:$C$200)&gt;0)*('業務'!$A$4:$A$200&lt;&gt;"")*('業務'!$P$4:$P$200="留保")))</f>
        <v/>
      </c>
      <c r="AR59" s="22">
        <f>IF($A59="","",AO59-AP59-AQ59)</f>
        <v/>
      </c>
      <c r="AS59" s="22">
        <f>IF($A59="","",SUMPRODUCT(('紐付け'!$A$4:$A$200=$A59)*('紐付け'!$C$4:$C$200&lt;&gt;"")*(COUNTIF('業務'!$C$4:$C$200,'紐付け'!$C$4:$C$200)=0)*(COUNTIFS('システム'!$A$4:$A$200,'紐付け'!$C$4:$C$200,'システム'!$N$4:$N$200,"留保")&gt;0)))</f>
        <v/>
      </c>
      <c r="AT59" s="22">
        <f>IF($A59="","",SUMPRODUCT(('紐付け'!$A$4:$A$200=$A59)*('紐付け'!$C$4:$C$200&lt;&gt;"")*(COUNTIF('業務'!$C$4:$C$200,'紐付け'!$C$4:$C$200)=0))-AS59)</f>
        <v/>
      </c>
      <c r="AU59" s="22">
        <f>IF($A59="","",COUNTIF('契約'!$C$4:$C$200,$A59))</f>
        <v/>
      </c>
      <c r="AV59" s="22">
        <f>IF($A59="","",COUNTIFS('契約'!$C$4:$C$200,$A59,'契約'!$O$4:$O$200,"移管"))</f>
        <v/>
      </c>
      <c r="AW59" s="22">
        <f>IF($A59="","",COUNTIFS('契約'!$C$4:$C$200,$A59,'契約'!$O$4:$O$200,"一部"))</f>
        <v/>
      </c>
      <c r="AX59" s="22">
        <f>IF($A59="","",COUNTIFS('契約'!$C$4:$C$200,$A59,'契約'!$O$4:$O$200,"判定保留"))</f>
        <v/>
      </c>
      <c r="AY59" s="22">
        <f>IF($A59="","",COUNTIFS('契約'!$C$4:$C$200,$A59,'契約'!$O$4:$O$200,"留保"))</f>
        <v/>
      </c>
    </row>
    <row r="60">
      <c r="A60" s="17" t="n"/>
      <c r="B60" s="17" t="n"/>
      <c r="C60" s="17" t="n"/>
      <c r="D60" s="17" t="n"/>
      <c r="E60" s="17" t="n"/>
      <c r="F60" s="17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9">
        <f>IF(COUNT(G60:R60)=0,"",SUM(G60:R60))</f>
        <v/>
      </c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9">
        <f>IF(COUNT(T60:AE60)=0,"",SUM(T60:AE60))</f>
        <v/>
      </c>
      <c r="AG60" s="17" t="n"/>
      <c r="AH60" s="17" t="n"/>
      <c r="AI60" s="17" t="n"/>
      <c r="AJ60" s="17" t="n"/>
      <c r="AK60" s="17" t="n"/>
      <c r="AL60" s="22">
        <f>IF($A60="","",IF(OR(AM60="移管",AN60="移管"),"移管",IF(OR(AM60="一部",AN60="一部"),"一部",IF(OR(AM60="判定保留",AN60="判定保留"),"判定保留",IF(OR(AM60="留保",AN60="留保"),"留保","対象外")))))</f>
        <v/>
      </c>
      <c r="AM60" s="22">
        <f>IF($A60="","",IF(AU60=0,"対象外",IF(AV60=AU60,"移管",IF(AV60+AW60&gt;0,"一部",IF(AX60&gt;0,"判定保留",IF(AY60&gt;0,"留保","対象外"))))))</f>
        <v/>
      </c>
      <c r="AN60" s="22">
        <f>IF($A60="","",IF((AO60+AS60+AT60)=0,"対象外",IF(AP60=(AO60+AS60+AT60),"移管",IF(AP60&gt;0,"一部",IF(AR60+AT60&gt;0,"判定保留",IF(AQ60+AS60&gt;0,"留保","対象外"))))))</f>
        <v/>
      </c>
      <c r="AO60" s="22">
        <f>IF($A60="","",SUMPRODUCT((COUNTIFS('紐付け'!$A$4:$A$200,$A60,'紐付け'!$C$4:$C$200,'業務'!$C$4:$C$200)&gt;0)*('業務'!$A$4:$A$200&lt;&gt;"")))</f>
        <v/>
      </c>
      <c r="AP60" s="22">
        <f>IF($A60="","",SUMPRODUCT((COUNTIFS('紐付け'!$A$4:$A$200,$A60,'紐付け'!$C$4:$C$200,'業務'!$C$4:$C$200)&gt;0)*('業務'!$A$4:$A$200&lt;&gt;"")*('業務'!$P$4:$P$200="移管")))</f>
        <v/>
      </c>
      <c r="AQ60" s="22">
        <f>IF($A60="","",SUMPRODUCT((COUNTIFS('紐付け'!$A$4:$A$200,$A60,'紐付け'!$C$4:$C$200,'業務'!$C$4:$C$200)&gt;0)*('業務'!$A$4:$A$200&lt;&gt;"")*('業務'!$P$4:$P$200="留保")))</f>
        <v/>
      </c>
      <c r="AR60" s="22">
        <f>IF($A60="","",AO60-AP60-AQ60)</f>
        <v/>
      </c>
      <c r="AS60" s="22">
        <f>IF($A60="","",SUMPRODUCT(('紐付け'!$A$4:$A$200=$A60)*('紐付け'!$C$4:$C$200&lt;&gt;"")*(COUNTIF('業務'!$C$4:$C$200,'紐付け'!$C$4:$C$200)=0)*(COUNTIFS('システム'!$A$4:$A$200,'紐付け'!$C$4:$C$200,'システム'!$N$4:$N$200,"留保")&gt;0)))</f>
        <v/>
      </c>
      <c r="AT60" s="22">
        <f>IF($A60="","",SUMPRODUCT(('紐付け'!$A$4:$A$200=$A60)*('紐付け'!$C$4:$C$200&lt;&gt;"")*(COUNTIF('業務'!$C$4:$C$200,'紐付け'!$C$4:$C$200)=0))-AS60)</f>
        <v/>
      </c>
      <c r="AU60" s="22">
        <f>IF($A60="","",COUNTIF('契約'!$C$4:$C$200,$A60))</f>
        <v/>
      </c>
      <c r="AV60" s="22">
        <f>IF($A60="","",COUNTIFS('契約'!$C$4:$C$200,$A60,'契約'!$O$4:$O$200,"移管"))</f>
        <v/>
      </c>
      <c r="AW60" s="22">
        <f>IF($A60="","",COUNTIFS('契約'!$C$4:$C$200,$A60,'契約'!$O$4:$O$200,"一部"))</f>
        <v/>
      </c>
      <c r="AX60" s="22">
        <f>IF($A60="","",COUNTIFS('契約'!$C$4:$C$200,$A60,'契約'!$O$4:$O$200,"判定保留"))</f>
        <v/>
      </c>
      <c r="AY60" s="22">
        <f>IF($A60="","",COUNTIFS('契約'!$C$4:$C$200,$A60,'契約'!$O$4:$O$200,"留保"))</f>
        <v/>
      </c>
    </row>
    <row r="61">
      <c r="A61" s="17" t="n"/>
      <c r="B61" s="17" t="n"/>
      <c r="C61" s="17" t="n"/>
      <c r="D61" s="17" t="n"/>
      <c r="E61" s="17" t="n"/>
      <c r="F61" s="17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>
        <f>IF(COUNT(G61:R61)=0,"",SUM(G61:R61))</f>
        <v/>
      </c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9">
        <f>IF(COUNT(T61:AE61)=0,"",SUM(T61:AE61))</f>
        <v/>
      </c>
      <c r="AG61" s="17" t="n"/>
      <c r="AH61" s="17" t="n"/>
      <c r="AI61" s="17" t="n"/>
      <c r="AJ61" s="17" t="n"/>
      <c r="AK61" s="17" t="n"/>
      <c r="AL61" s="22">
        <f>IF($A61="","",IF(OR(AM61="移管",AN61="移管"),"移管",IF(OR(AM61="一部",AN61="一部"),"一部",IF(OR(AM61="判定保留",AN61="判定保留"),"判定保留",IF(OR(AM61="留保",AN61="留保"),"留保","対象外")))))</f>
        <v/>
      </c>
      <c r="AM61" s="22">
        <f>IF($A61="","",IF(AU61=0,"対象外",IF(AV61=AU61,"移管",IF(AV61+AW61&gt;0,"一部",IF(AX61&gt;0,"判定保留",IF(AY61&gt;0,"留保","対象外"))))))</f>
        <v/>
      </c>
      <c r="AN61" s="22">
        <f>IF($A61="","",IF((AO61+AS61+AT61)=0,"対象外",IF(AP61=(AO61+AS61+AT61),"移管",IF(AP61&gt;0,"一部",IF(AR61+AT61&gt;0,"判定保留",IF(AQ61+AS61&gt;0,"留保","対象外"))))))</f>
        <v/>
      </c>
      <c r="AO61" s="22">
        <f>IF($A61="","",SUMPRODUCT((COUNTIFS('紐付け'!$A$4:$A$200,$A61,'紐付け'!$C$4:$C$200,'業務'!$C$4:$C$200)&gt;0)*('業務'!$A$4:$A$200&lt;&gt;"")))</f>
        <v/>
      </c>
      <c r="AP61" s="22">
        <f>IF($A61="","",SUMPRODUCT((COUNTIFS('紐付け'!$A$4:$A$200,$A61,'紐付け'!$C$4:$C$200,'業務'!$C$4:$C$200)&gt;0)*('業務'!$A$4:$A$200&lt;&gt;"")*('業務'!$P$4:$P$200="移管")))</f>
        <v/>
      </c>
      <c r="AQ61" s="22">
        <f>IF($A61="","",SUMPRODUCT((COUNTIFS('紐付け'!$A$4:$A$200,$A61,'紐付け'!$C$4:$C$200,'業務'!$C$4:$C$200)&gt;0)*('業務'!$A$4:$A$200&lt;&gt;"")*('業務'!$P$4:$P$200="留保")))</f>
        <v/>
      </c>
      <c r="AR61" s="22">
        <f>IF($A61="","",AO61-AP61-AQ61)</f>
        <v/>
      </c>
      <c r="AS61" s="22">
        <f>IF($A61="","",SUMPRODUCT(('紐付け'!$A$4:$A$200=$A61)*('紐付け'!$C$4:$C$200&lt;&gt;"")*(COUNTIF('業務'!$C$4:$C$200,'紐付け'!$C$4:$C$200)=0)*(COUNTIFS('システム'!$A$4:$A$200,'紐付け'!$C$4:$C$200,'システム'!$N$4:$N$200,"留保")&gt;0)))</f>
        <v/>
      </c>
      <c r="AT61" s="22">
        <f>IF($A61="","",SUMPRODUCT(('紐付け'!$A$4:$A$200=$A61)*('紐付け'!$C$4:$C$200&lt;&gt;"")*(COUNTIF('業務'!$C$4:$C$200,'紐付け'!$C$4:$C$200)=0))-AS61)</f>
        <v/>
      </c>
      <c r="AU61" s="22">
        <f>IF($A61="","",COUNTIF('契約'!$C$4:$C$200,$A61))</f>
        <v/>
      </c>
      <c r="AV61" s="22">
        <f>IF($A61="","",COUNTIFS('契約'!$C$4:$C$200,$A61,'契約'!$O$4:$O$200,"移管"))</f>
        <v/>
      </c>
      <c r="AW61" s="22">
        <f>IF($A61="","",COUNTIFS('契約'!$C$4:$C$200,$A61,'契約'!$O$4:$O$200,"一部"))</f>
        <v/>
      </c>
      <c r="AX61" s="22">
        <f>IF($A61="","",COUNTIFS('契約'!$C$4:$C$200,$A61,'契約'!$O$4:$O$200,"判定保留"))</f>
        <v/>
      </c>
      <c r="AY61" s="22">
        <f>IF($A61="","",COUNTIFS('契約'!$C$4:$C$200,$A61,'契約'!$O$4:$O$200,"留保"))</f>
        <v/>
      </c>
    </row>
    <row r="62">
      <c r="A62" s="17" t="n"/>
      <c r="B62" s="17" t="n"/>
      <c r="C62" s="17" t="n"/>
      <c r="D62" s="17" t="n"/>
      <c r="E62" s="17" t="n"/>
      <c r="F62" s="17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9">
        <f>IF(COUNT(G62:R62)=0,"",SUM(G62:R62))</f>
        <v/>
      </c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9">
        <f>IF(COUNT(T62:AE62)=0,"",SUM(T62:AE62))</f>
        <v/>
      </c>
      <c r="AG62" s="17" t="n"/>
      <c r="AH62" s="17" t="n"/>
      <c r="AI62" s="17" t="n"/>
      <c r="AJ62" s="17" t="n"/>
      <c r="AK62" s="17" t="n"/>
      <c r="AL62" s="22">
        <f>IF($A62="","",IF(OR(AM62="移管",AN62="移管"),"移管",IF(OR(AM62="一部",AN62="一部"),"一部",IF(OR(AM62="判定保留",AN62="判定保留"),"判定保留",IF(OR(AM62="留保",AN62="留保"),"留保","対象外")))))</f>
        <v/>
      </c>
      <c r="AM62" s="22">
        <f>IF($A62="","",IF(AU62=0,"対象外",IF(AV62=AU62,"移管",IF(AV62+AW62&gt;0,"一部",IF(AX62&gt;0,"判定保留",IF(AY62&gt;0,"留保","対象外"))))))</f>
        <v/>
      </c>
      <c r="AN62" s="22">
        <f>IF($A62="","",IF((AO62+AS62+AT62)=0,"対象外",IF(AP62=(AO62+AS62+AT62),"移管",IF(AP62&gt;0,"一部",IF(AR62+AT62&gt;0,"判定保留",IF(AQ62+AS62&gt;0,"留保","対象外"))))))</f>
        <v/>
      </c>
      <c r="AO62" s="22">
        <f>IF($A62="","",SUMPRODUCT((COUNTIFS('紐付け'!$A$4:$A$200,$A62,'紐付け'!$C$4:$C$200,'業務'!$C$4:$C$200)&gt;0)*('業務'!$A$4:$A$200&lt;&gt;"")))</f>
        <v/>
      </c>
      <c r="AP62" s="22">
        <f>IF($A62="","",SUMPRODUCT((COUNTIFS('紐付け'!$A$4:$A$200,$A62,'紐付け'!$C$4:$C$200,'業務'!$C$4:$C$200)&gt;0)*('業務'!$A$4:$A$200&lt;&gt;"")*('業務'!$P$4:$P$200="移管")))</f>
        <v/>
      </c>
      <c r="AQ62" s="22">
        <f>IF($A62="","",SUMPRODUCT((COUNTIFS('紐付け'!$A$4:$A$200,$A62,'紐付け'!$C$4:$C$200,'業務'!$C$4:$C$200)&gt;0)*('業務'!$A$4:$A$200&lt;&gt;"")*('業務'!$P$4:$P$200="留保")))</f>
        <v/>
      </c>
      <c r="AR62" s="22">
        <f>IF($A62="","",AO62-AP62-AQ62)</f>
        <v/>
      </c>
      <c r="AS62" s="22">
        <f>IF($A62="","",SUMPRODUCT(('紐付け'!$A$4:$A$200=$A62)*('紐付け'!$C$4:$C$200&lt;&gt;"")*(COUNTIF('業務'!$C$4:$C$200,'紐付け'!$C$4:$C$200)=0)*(COUNTIFS('システム'!$A$4:$A$200,'紐付け'!$C$4:$C$200,'システム'!$N$4:$N$200,"留保")&gt;0)))</f>
        <v/>
      </c>
      <c r="AT62" s="22">
        <f>IF($A62="","",SUMPRODUCT(('紐付け'!$A$4:$A$200=$A62)*('紐付け'!$C$4:$C$200&lt;&gt;"")*(COUNTIF('業務'!$C$4:$C$200,'紐付け'!$C$4:$C$200)=0))-AS62)</f>
        <v/>
      </c>
      <c r="AU62" s="22">
        <f>IF($A62="","",COUNTIF('契約'!$C$4:$C$200,$A62))</f>
        <v/>
      </c>
      <c r="AV62" s="22">
        <f>IF($A62="","",COUNTIFS('契約'!$C$4:$C$200,$A62,'契約'!$O$4:$O$200,"移管"))</f>
        <v/>
      </c>
      <c r="AW62" s="22">
        <f>IF($A62="","",COUNTIFS('契約'!$C$4:$C$200,$A62,'契約'!$O$4:$O$200,"一部"))</f>
        <v/>
      </c>
      <c r="AX62" s="22">
        <f>IF($A62="","",COUNTIFS('契約'!$C$4:$C$200,$A62,'契約'!$O$4:$O$200,"判定保留"))</f>
        <v/>
      </c>
      <c r="AY62" s="22">
        <f>IF($A62="","",COUNTIFS('契約'!$C$4:$C$200,$A62,'契約'!$O$4:$O$200,"留保"))</f>
        <v/>
      </c>
    </row>
    <row r="63">
      <c r="A63" s="17" t="n"/>
      <c r="B63" s="17" t="n"/>
      <c r="C63" s="17" t="n"/>
      <c r="D63" s="17" t="n"/>
      <c r="E63" s="17" t="n"/>
      <c r="F63" s="17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9">
        <f>IF(COUNT(G63:R63)=0,"",SUM(G63:R63))</f>
        <v/>
      </c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9">
        <f>IF(COUNT(T63:AE63)=0,"",SUM(T63:AE63))</f>
        <v/>
      </c>
      <c r="AG63" s="17" t="n"/>
      <c r="AH63" s="17" t="n"/>
      <c r="AI63" s="17" t="n"/>
      <c r="AJ63" s="17" t="n"/>
      <c r="AK63" s="17" t="n"/>
      <c r="AL63" s="22">
        <f>IF($A63="","",IF(OR(AM63="移管",AN63="移管"),"移管",IF(OR(AM63="一部",AN63="一部"),"一部",IF(OR(AM63="判定保留",AN63="判定保留"),"判定保留",IF(OR(AM63="留保",AN63="留保"),"留保","対象外")))))</f>
        <v/>
      </c>
      <c r="AM63" s="22">
        <f>IF($A63="","",IF(AU63=0,"対象外",IF(AV63=AU63,"移管",IF(AV63+AW63&gt;0,"一部",IF(AX63&gt;0,"判定保留",IF(AY63&gt;0,"留保","対象外"))))))</f>
        <v/>
      </c>
      <c r="AN63" s="22">
        <f>IF($A63="","",IF((AO63+AS63+AT63)=0,"対象外",IF(AP63=(AO63+AS63+AT63),"移管",IF(AP63&gt;0,"一部",IF(AR63+AT63&gt;0,"判定保留",IF(AQ63+AS63&gt;0,"留保","対象外"))))))</f>
        <v/>
      </c>
      <c r="AO63" s="22">
        <f>IF($A63="","",SUMPRODUCT((COUNTIFS('紐付け'!$A$4:$A$200,$A63,'紐付け'!$C$4:$C$200,'業務'!$C$4:$C$200)&gt;0)*('業務'!$A$4:$A$200&lt;&gt;"")))</f>
        <v/>
      </c>
      <c r="AP63" s="22">
        <f>IF($A63="","",SUMPRODUCT((COUNTIFS('紐付け'!$A$4:$A$200,$A63,'紐付け'!$C$4:$C$200,'業務'!$C$4:$C$200)&gt;0)*('業務'!$A$4:$A$200&lt;&gt;"")*('業務'!$P$4:$P$200="移管")))</f>
        <v/>
      </c>
      <c r="AQ63" s="22">
        <f>IF($A63="","",SUMPRODUCT((COUNTIFS('紐付け'!$A$4:$A$200,$A63,'紐付け'!$C$4:$C$200,'業務'!$C$4:$C$200)&gt;0)*('業務'!$A$4:$A$200&lt;&gt;"")*('業務'!$P$4:$P$200="留保")))</f>
        <v/>
      </c>
      <c r="AR63" s="22">
        <f>IF($A63="","",AO63-AP63-AQ63)</f>
        <v/>
      </c>
      <c r="AS63" s="22">
        <f>IF($A63="","",SUMPRODUCT(('紐付け'!$A$4:$A$200=$A63)*('紐付け'!$C$4:$C$200&lt;&gt;"")*(COUNTIF('業務'!$C$4:$C$200,'紐付け'!$C$4:$C$200)=0)*(COUNTIFS('システム'!$A$4:$A$200,'紐付け'!$C$4:$C$200,'システム'!$N$4:$N$200,"留保")&gt;0)))</f>
        <v/>
      </c>
      <c r="AT63" s="22">
        <f>IF($A63="","",SUMPRODUCT(('紐付け'!$A$4:$A$200=$A63)*('紐付け'!$C$4:$C$200&lt;&gt;"")*(COUNTIF('業務'!$C$4:$C$200,'紐付け'!$C$4:$C$200)=0))-AS63)</f>
        <v/>
      </c>
      <c r="AU63" s="22">
        <f>IF($A63="","",COUNTIF('契約'!$C$4:$C$200,$A63))</f>
        <v/>
      </c>
      <c r="AV63" s="22">
        <f>IF($A63="","",COUNTIFS('契約'!$C$4:$C$200,$A63,'契約'!$O$4:$O$200,"移管"))</f>
        <v/>
      </c>
      <c r="AW63" s="22">
        <f>IF($A63="","",COUNTIFS('契約'!$C$4:$C$200,$A63,'契約'!$O$4:$O$200,"一部"))</f>
        <v/>
      </c>
      <c r="AX63" s="22">
        <f>IF($A63="","",COUNTIFS('契約'!$C$4:$C$200,$A63,'契約'!$O$4:$O$200,"判定保留"))</f>
        <v/>
      </c>
      <c r="AY63" s="22">
        <f>IF($A63="","",COUNTIFS('契約'!$C$4:$C$200,$A63,'契約'!$O$4:$O$200,"留保"))</f>
        <v/>
      </c>
    </row>
    <row r="64">
      <c r="A64" s="17" t="n"/>
      <c r="B64" s="17" t="n"/>
      <c r="C64" s="17" t="n"/>
      <c r="D64" s="17" t="n"/>
      <c r="E64" s="17" t="n"/>
      <c r="F64" s="17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9">
        <f>IF(COUNT(G64:R64)=0,"",SUM(G64:R64))</f>
        <v/>
      </c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9">
        <f>IF(COUNT(T64:AE64)=0,"",SUM(T64:AE64))</f>
        <v/>
      </c>
      <c r="AG64" s="17" t="n"/>
      <c r="AH64" s="17" t="n"/>
      <c r="AI64" s="17" t="n"/>
      <c r="AJ64" s="17" t="n"/>
      <c r="AK64" s="17" t="n"/>
      <c r="AL64" s="22">
        <f>IF($A64="","",IF(OR(AM64="移管",AN64="移管"),"移管",IF(OR(AM64="一部",AN64="一部"),"一部",IF(OR(AM64="判定保留",AN64="判定保留"),"判定保留",IF(OR(AM64="留保",AN64="留保"),"留保","対象外")))))</f>
        <v/>
      </c>
      <c r="AM64" s="22">
        <f>IF($A64="","",IF(AU64=0,"対象外",IF(AV64=AU64,"移管",IF(AV64+AW64&gt;0,"一部",IF(AX64&gt;0,"判定保留",IF(AY64&gt;0,"留保","対象外"))))))</f>
        <v/>
      </c>
      <c r="AN64" s="22">
        <f>IF($A64="","",IF((AO64+AS64+AT64)=0,"対象外",IF(AP64=(AO64+AS64+AT64),"移管",IF(AP64&gt;0,"一部",IF(AR64+AT64&gt;0,"判定保留",IF(AQ64+AS64&gt;0,"留保","対象外"))))))</f>
        <v/>
      </c>
      <c r="AO64" s="22">
        <f>IF($A64="","",SUMPRODUCT((COUNTIFS('紐付け'!$A$4:$A$200,$A64,'紐付け'!$C$4:$C$200,'業務'!$C$4:$C$200)&gt;0)*('業務'!$A$4:$A$200&lt;&gt;"")))</f>
        <v/>
      </c>
      <c r="AP64" s="22">
        <f>IF($A64="","",SUMPRODUCT((COUNTIFS('紐付け'!$A$4:$A$200,$A64,'紐付け'!$C$4:$C$200,'業務'!$C$4:$C$200)&gt;0)*('業務'!$A$4:$A$200&lt;&gt;"")*('業務'!$P$4:$P$200="移管")))</f>
        <v/>
      </c>
      <c r="AQ64" s="22">
        <f>IF($A64="","",SUMPRODUCT((COUNTIFS('紐付け'!$A$4:$A$200,$A64,'紐付け'!$C$4:$C$200,'業務'!$C$4:$C$200)&gt;0)*('業務'!$A$4:$A$200&lt;&gt;"")*('業務'!$P$4:$P$200="留保")))</f>
        <v/>
      </c>
      <c r="AR64" s="22">
        <f>IF($A64="","",AO64-AP64-AQ64)</f>
        <v/>
      </c>
      <c r="AS64" s="22">
        <f>IF($A64="","",SUMPRODUCT(('紐付け'!$A$4:$A$200=$A64)*('紐付け'!$C$4:$C$200&lt;&gt;"")*(COUNTIF('業務'!$C$4:$C$200,'紐付け'!$C$4:$C$200)=0)*(COUNTIFS('システム'!$A$4:$A$200,'紐付け'!$C$4:$C$200,'システム'!$N$4:$N$200,"留保")&gt;0)))</f>
        <v/>
      </c>
      <c r="AT64" s="22">
        <f>IF($A64="","",SUMPRODUCT(('紐付け'!$A$4:$A$200=$A64)*('紐付け'!$C$4:$C$200&lt;&gt;"")*(COUNTIF('業務'!$C$4:$C$200,'紐付け'!$C$4:$C$200)=0))-AS64)</f>
        <v/>
      </c>
      <c r="AU64" s="22">
        <f>IF($A64="","",COUNTIF('契約'!$C$4:$C$200,$A64))</f>
        <v/>
      </c>
      <c r="AV64" s="22">
        <f>IF($A64="","",COUNTIFS('契約'!$C$4:$C$200,$A64,'契約'!$O$4:$O$200,"移管"))</f>
        <v/>
      </c>
      <c r="AW64" s="22">
        <f>IF($A64="","",COUNTIFS('契約'!$C$4:$C$200,$A64,'契約'!$O$4:$O$200,"一部"))</f>
        <v/>
      </c>
      <c r="AX64" s="22">
        <f>IF($A64="","",COUNTIFS('契約'!$C$4:$C$200,$A64,'契約'!$O$4:$O$200,"判定保留"))</f>
        <v/>
      </c>
      <c r="AY64" s="22">
        <f>IF($A64="","",COUNTIFS('契約'!$C$4:$C$200,$A64,'契約'!$O$4:$O$200,"留保"))</f>
        <v/>
      </c>
    </row>
    <row r="65">
      <c r="A65" s="17" t="n"/>
      <c r="B65" s="17" t="n"/>
      <c r="C65" s="17" t="n"/>
      <c r="D65" s="17" t="n"/>
      <c r="E65" s="17" t="n"/>
      <c r="F65" s="17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9">
        <f>IF(COUNT(G65:R65)=0,"",SUM(G65:R65))</f>
        <v/>
      </c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9">
        <f>IF(COUNT(T65:AE65)=0,"",SUM(T65:AE65))</f>
        <v/>
      </c>
      <c r="AG65" s="17" t="n"/>
      <c r="AH65" s="17" t="n"/>
      <c r="AI65" s="17" t="n"/>
      <c r="AJ65" s="17" t="n"/>
      <c r="AK65" s="17" t="n"/>
      <c r="AL65" s="22">
        <f>IF($A65="","",IF(OR(AM65="移管",AN65="移管"),"移管",IF(OR(AM65="一部",AN65="一部"),"一部",IF(OR(AM65="判定保留",AN65="判定保留"),"判定保留",IF(OR(AM65="留保",AN65="留保"),"留保","対象外")))))</f>
        <v/>
      </c>
      <c r="AM65" s="22">
        <f>IF($A65="","",IF(AU65=0,"対象外",IF(AV65=AU65,"移管",IF(AV65+AW65&gt;0,"一部",IF(AX65&gt;0,"判定保留",IF(AY65&gt;0,"留保","対象外"))))))</f>
        <v/>
      </c>
      <c r="AN65" s="22">
        <f>IF($A65="","",IF((AO65+AS65+AT65)=0,"対象外",IF(AP65=(AO65+AS65+AT65),"移管",IF(AP65&gt;0,"一部",IF(AR65+AT65&gt;0,"判定保留",IF(AQ65+AS65&gt;0,"留保","対象外"))))))</f>
        <v/>
      </c>
      <c r="AO65" s="22">
        <f>IF($A65="","",SUMPRODUCT((COUNTIFS('紐付け'!$A$4:$A$200,$A65,'紐付け'!$C$4:$C$200,'業務'!$C$4:$C$200)&gt;0)*('業務'!$A$4:$A$200&lt;&gt;"")))</f>
        <v/>
      </c>
      <c r="AP65" s="22">
        <f>IF($A65="","",SUMPRODUCT((COUNTIFS('紐付け'!$A$4:$A$200,$A65,'紐付け'!$C$4:$C$200,'業務'!$C$4:$C$200)&gt;0)*('業務'!$A$4:$A$200&lt;&gt;"")*('業務'!$P$4:$P$200="移管")))</f>
        <v/>
      </c>
      <c r="AQ65" s="22">
        <f>IF($A65="","",SUMPRODUCT((COUNTIFS('紐付け'!$A$4:$A$200,$A65,'紐付け'!$C$4:$C$200,'業務'!$C$4:$C$200)&gt;0)*('業務'!$A$4:$A$200&lt;&gt;"")*('業務'!$P$4:$P$200="留保")))</f>
        <v/>
      </c>
      <c r="AR65" s="22">
        <f>IF($A65="","",AO65-AP65-AQ65)</f>
        <v/>
      </c>
      <c r="AS65" s="22">
        <f>IF($A65="","",SUMPRODUCT(('紐付け'!$A$4:$A$200=$A65)*('紐付け'!$C$4:$C$200&lt;&gt;"")*(COUNTIF('業務'!$C$4:$C$200,'紐付け'!$C$4:$C$200)=0)*(COUNTIFS('システム'!$A$4:$A$200,'紐付け'!$C$4:$C$200,'システム'!$N$4:$N$200,"留保")&gt;0)))</f>
        <v/>
      </c>
      <c r="AT65" s="22">
        <f>IF($A65="","",SUMPRODUCT(('紐付け'!$A$4:$A$200=$A65)*('紐付け'!$C$4:$C$200&lt;&gt;"")*(COUNTIF('業務'!$C$4:$C$200,'紐付け'!$C$4:$C$200)=0))-AS65)</f>
        <v/>
      </c>
      <c r="AU65" s="22">
        <f>IF($A65="","",COUNTIF('契約'!$C$4:$C$200,$A65))</f>
        <v/>
      </c>
      <c r="AV65" s="22">
        <f>IF($A65="","",COUNTIFS('契約'!$C$4:$C$200,$A65,'契約'!$O$4:$O$200,"移管"))</f>
        <v/>
      </c>
      <c r="AW65" s="22">
        <f>IF($A65="","",COUNTIFS('契約'!$C$4:$C$200,$A65,'契約'!$O$4:$O$200,"一部"))</f>
        <v/>
      </c>
      <c r="AX65" s="22">
        <f>IF($A65="","",COUNTIFS('契約'!$C$4:$C$200,$A65,'契約'!$O$4:$O$200,"判定保留"))</f>
        <v/>
      </c>
      <c r="AY65" s="22">
        <f>IF($A65="","",COUNTIFS('契約'!$C$4:$C$200,$A65,'契約'!$O$4:$O$200,"留保"))</f>
        <v/>
      </c>
    </row>
    <row r="66">
      <c r="A66" s="17" t="n"/>
      <c r="B66" s="17" t="n"/>
      <c r="C66" s="17" t="n"/>
      <c r="D66" s="17" t="n"/>
      <c r="E66" s="17" t="n"/>
      <c r="F66" s="17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9">
        <f>IF(COUNT(G66:R66)=0,"",SUM(G66:R66))</f>
        <v/>
      </c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9">
        <f>IF(COUNT(T66:AE66)=0,"",SUM(T66:AE66))</f>
        <v/>
      </c>
      <c r="AG66" s="17" t="n"/>
      <c r="AH66" s="17" t="n"/>
      <c r="AI66" s="17" t="n"/>
      <c r="AJ66" s="17" t="n"/>
      <c r="AK66" s="17" t="n"/>
      <c r="AL66" s="22">
        <f>IF($A66="","",IF(OR(AM66="移管",AN66="移管"),"移管",IF(OR(AM66="一部",AN66="一部"),"一部",IF(OR(AM66="判定保留",AN66="判定保留"),"判定保留",IF(OR(AM66="留保",AN66="留保"),"留保","対象外")))))</f>
        <v/>
      </c>
      <c r="AM66" s="22">
        <f>IF($A66="","",IF(AU66=0,"対象外",IF(AV66=AU66,"移管",IF(AV66+AW66&gt;0,"一部",IF(AX66&gt;0,"判定保留",IF(AY66&gt;0,"留保","対象外"))))))</f>
        <v/>
      </c>
      <c r="AN66" s="22">
        <f>IF($A66="","",IF((AO66+AS66+AT66)=0,"対象外",IF(AP66=(AO66+AS66+AT66),"移管",IF(AP66&gt;0,"一部",IF(AR66+AT66&gt;0,"判定保留",IF(AQ66+AS66&gt;0,"留保","対象外"))))))</f>
        <v/>
      </c>
      <c r="AO66" s="22">
        <f>IF($A66="","",SUMPRODUCT((COUNTIFS('紐付け'!$A$4:$A$200,$A66,'紐付け'!$C$4:$C$200,'業務'!$C$4:$C$200)&gt;0)*('業務'!$A$4:$A$200&lt;&gt;"")))</f>
        <v/>
      </c>
      <c r="AP66" s="22">
        <f>IF($A66="","",SUMPRODUCT((COUNTIFS('紐付け'!$A$4:$A$200,$A66,'紐付け'!$C$4:$C$200,'業務'!$C$4:$C$200)&gt;0)*('業務'!$A$4:$A$200&lt;&gt;"")*('業務'!$P$4:$P$200="移管")))</f>
        <v/>
      </c>
      <c r="AQ66" s="22">
        <f>IF($A66="","",SUMPRODUCT((COUNTIFS('紐付け'!$A$4:$A$200,$A66,'紐付け'!$C$4:$C$200,'業務'!$C$4:$C$200)&gt;0)*('業務'!$A$4:$A$200&lt;&gt;"")*('業務'!$P$4:$P$200="留保")))</f>
        <v/>
      </c>
      <c r="AR66" s="22">
        <f>IF($A66="","",AO66-AP66-AQ66)</f>
        <v/>
      </c>
      <c r="AS66" s="22">
        <f>IF($A66="","",SUMPRODUCT(('紐付け'!$A$4:$A$200=$A66)*('紐付け'!$C$4:$C$200&lt;&gt;"")*(COUNTIF('業務'!$C$4:$C$200,'紐付け'!$C$4:$C$200)=0)*(COUNTIFS('システム'!$A$4:$A$200,'紐付け'!$C$4:$C$200,'システム'!$N$4:$N$200,"留保")&gt;0)))</f>
        <v/>
      </c>
      <c r="AT66" s="22">
        <f>IF($A66="","",SUMPRODUCT(('紐付け'!$A$4:$A$200=$A66)*('紐付け'!$C$4:$C$200&lt;&gt;"")*(COUNTIF('業務'!$C$4:$C$200,'紐付け'!$C$4:$C$200)=0))-AS66)</f>
        <v/>
      </c>
      <c r="AU66" s="22">
        <f>IF($A66="","",COUNTIF('契約'!$C$4:$C$200,$A66))</f>
        <v/>
      </c>
      <c r="AV66" s="22">
        <f>IF($A66="","",COUNTIFS('契約'!$C$4:$C$200,$A66,'契約'!$O$4:$O$200,"移管"))</f>
        <v/>
      </c>
      <c r="AW66" s="22">
        <f>IF($A66="","",COUNTIFS('契約'!$C$4:$C$200,$A66,'契約'!$O$4:$O$200,"一部"))</f>
        <v/>
      </c>
      <c r="AX66" s="22">
        <f>IF($A66="","",COUNTIFS('契約'!$C$4:$C$200,$A66,'契約'!$O$4:$O$200,"判定保留"))</f>
        <v/>
      </c>
      <c r="AY66" s="22">
        <f>IF($A66="","",COUNTIFS('契約'!$C$4:$C$200,$A66,'契約'!$O$4:$O$200,"留保"))</f>
        <v/>
      </c>
    </row>
    <row r="67">
      <c r="A67" s="17" t="n"/>
      <c r="B67" s="17" t="n"/>
      <c r="C67" s="17" t="n"/>
      <c r="D67" s="17" t="n"/>
      <c r="E67" s="17" t="n"/>
      <c r="F67" s="17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9">
        <f>IF(COUNT(G67:R67)=0,"",SUM(G67:R67))</f>
        <v/>
      </c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9">
        <f>IF(COUNT(T67:AE67)=0,"",SUM(T67:AE67))</f>
        <v/>
      </c>
      <c r="AG67" s="17" t="n"/>
      <c r="AH67" s="17" t="n"/>
      <c r="AI67" s="17" t="n"/>
      <c r="AJ67" s="17" t="n"/>
      <c r="AK67" s="17" t="n"/>
      <c r="AL67" s="22">
        <f>IF($A67="","",IF(OR(AM67="移管",AN67="移管"),"移管",IF(OR(AM67="一部",AN67="一部"),"一部",IF(OR(AM67="判定保留",AN67="判定保留"),"判定保留",IF(OR(AM67="留保",AN67="留保"),"留保","対象外")))))</f>
        <v/>
      </c>
      <c r="AM67" s="22">
        <f>IF($A67="","",IF(AU67=0,"対象外",IF(AV67=AU67,"移管",IF(AV67+AW67&gt;0,"一部",IF(AX67&gt;0,"判定保留",IF(AY67&gt;0,"留保","対象外"))))))</f>
        <v/>
      </c>
      <c r="AN67" s="22">
        <f>IF($A67="","",IF((AO67+AS67+AT67)=0,"対象外",IF(AP67=(AO67+AS67+AT67),"移管",IF(AP67&gt;0,"一部",IF(AR67+AT67&gt;0,"判定保留",IF(AQ67+AS67&gt;0,"留保","対象外"))))))</f>
        <v/>
      </c>
      <c r="AO67" s="22">
        <f>IF($A67="","",SUMPRODUCT((COUNTIFS('紐付け'!$A$4:$A$200,$A67,'紐付け'!$C$4:$C$200,'業務'!$C$4:$C$200)&gt;0)*('業務'!$A$4:$A$200&lt;&gt;"")))</f>
        <v/>
      </c>
      <c r="AP67" s="22">
        <f>IF($A67="","",SUMPRODUCT((COUNTIFS('紐付け'!$A$4:$A$200,$A67,'紐付け'!$C$4:$C$200,'業務'!$C$4:$C$200)&gt;0)*('業務'!$A$4:$A$200&lt;&gt;"")*('業務'!$P$4:$P$200="移管")))</f>
        <v/>
      </c>
      <c r="AQ67" s="22">
        <f>IF($A67="","",SUMPRODUCT((COUNTIFS('紐付け'!$A$4:$A$200,$A67,'紐付け'!$C$4:$C$200,'業務'!$C$4:$C$200)&gt;0)*('業務'!$A$4:$A$200&lt;&gt;"")*('業務'!$P$4:$P$200="留保")))</f>
        <v/>
      </c>
      <c r="AR67" s="22">
        <f>IF($A67="","",AO67-AP67-AQ67)</f>
        <v/>
      </c>
      <c r="AS67" s="22">
        <f>IF($A67="","",SUMPRODUCT(('紐付け'!$A$4:$A$200=$A67)*('紐付け'!$C$4:$C$200&lt;&gt;"")*(COUNTIF('業務'!$C$4:$C$200,'紐付け'!$C$4:$C$200)=0)*(COUNTIFS('システム'!$A$4:$A$200,'紐付け'!$C$4:$C$200,'システム'!$N$4:$N$200,"留保")&gt;0)))</f>
        <v/>
      </c>
      <c r="AT67" s="22">
        <f>IF($A67="","",SUMPRODUCT(('紐付け'!$A$4:$A$200=$A67)*('紐付け'!$C$4:$C$200&lt;&gt;"")*(COUNTIF('業務'!$C$4:$C$200,'紐付け'!$C$4:$C$200)=0))-AS67)</f>
        <v/>
      </c>
      <c r="AU67" s="22">
        <f>IF($A67="","",COUNTIF('契約'!$C$4:$C$200,$A67))</f>
        <v/>
      </c>
      <c r="AV67" s="22">
        <f>IF($A67="","",COUNTIFS('契約'!$C$4:$C$200,$A67,'契約'!$O$4:$O$200,"移管"))</f>
        <v/>
      </c>
      <c r="AW67" s="22">
        <f>IF($A67="","",COUNTIFS('契約'!$C$4:$C$200,$A67,'契約'!$O$4:$O$200,"一部"))</f>
        <v/>
      </c>
      <c r="AX67" s="22">
        <f>IF($A67="","",COUNTIFS('契約'!$C$4:$C$200,$A67,'契約'!$O$4:$O$200,"判定保留"))</f>
        <v/>
      </c>
      <c r="AY67" s="22">
        <f>IF($A67="","",COUNTIFS('契約'!$C$4:$C$200,$A67,'契約'!$O$4:$O$200,"留保"))</f>
        <v/>
      </c>
    </row>
    <row r="68">
      <c r="A68" s="17" t="n"/>
      <c r="B68" s="17" t="n"/>
      <c r="C68" s="17" t="n"/>
      <c r="D68" s="17" t="n"/>
      <c r="E68" s="17" t="n"/>
      <c r="F68" s="17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9">
        <f>IF(COUNT(G68:R68)=0,"",SUM(G68:R68))</f>
        <v/>
      </c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9">
        <f>IF(COUNT(T68:AE68)=0,"",SUM(T68:AE68))</f>
        <v/>
      </c>
      <c r="AG68" s="17" t="n"/>
      <c r="AH68" s="17" t="n"/>
      <c r="AI68" s="17" t="n"/>
      <c r="AJ68" s="17" t="n"/>
      <c r="AK68" s="17" t="n"/>
      <c r="AL68" s="22">
        <f>IF($A68="","",IF(OR(AM68="移管",AN68="移管"),"移管",IF(OR(AM68="一部",AN68="一部"),"一部",IF(OR(AM68="判定保留",AN68="判定保留"),"判定保留",IF(OR(AM68="留保",AN68="留保"),"留保","対象外")))))</f>
        <v/>
      </c>
      <c r="AM68" s="22">
        <f>IF($A68="","",IF(AU68=0,"対象外",IF(AV68=AU68,"移管",IF(AV68+AW68&gt;0,"一部",IF(AX68&gt;0,"判定保留",IF(AY68&gt;0,"留保","対象外"))))))</f>
        <v/>
      </c>
      <c r="AN68" s="22">
        <f>IF($A68="","",IF((AO68+AS68+AT68)=0,"対象外",IF(AP68=(AO68+AS68+AT68),"移管",IF(AP68&gt;0,"一部",IF(AR68+AT68&gt;0,"判定保留",IF(AQ68+AS68&gt;0,"留保","対象外"))))))</f>
        <v/>
      </c>
      <c r="AO68" s="22">
        <f>IF($A68="","",SUMPRODUCT((COUNTIFS('紐付け'!$A$4:$A$200,$A68,'紐付け'!$C$4:$C$200,'業務'!$C$4:$C$200)&gt;0)*('業務'!$A$4:$A$200&lt;&gt;"")))</f>
        <v/>
      </c>
      <c r="AP68" s="22">
        <f>IF($A68="","",SUMPRODUCT((COUNTIFS('紐付け'!$A$4:$A$200,$A68,'紐付け'!$C$4:$C$200,'業務'!$C$4:$C$200)&gt;0)*('業務'!$A$4:$A$200&lt;&gt;"")*('業務'!$P$4:$P$200="移管")))</f>
        <v/>
      </c>
      <c r="AQ68" s="22">
        <f>IF($A68="","",SUMPRODUCT((COUNTIFS('紐付け'!$A$4:$A$200,$A68,'紐付け'!$C$4:$C$200,'業務'!$C$4:$C$200)&gt;0)*('業務'!$A$4:$A$200&lt;&gt;"")*('業務'!$P$4:$P$200="留保")))</f>
        <v/>
      </c>
      <c r="AR68" s="22">
        <f>IF($A68="","",AO68-AP68-AQ68)</f>
        <v/>
      </c>
      <c r="AS68" s="22">
        <f>IF($A68="","",SUMPRODUCT(('紐付け'!$A$4:$A$200=$A68)*('紐付け'!$C$4:$C$200&lt;&gt;"")*(COUNTIF('業務'!$C$4:$C$200,'紐付け'!$C$4:$C$200)=0)*(COUNTIFS('システム'!$A$4:$A$200,'紐付け'!$C$4:$C$200,'システム'!$N$4:$N$200,"留保")&gt;0)))</f>
        <v/>
      </c>
      <c r="AT68" s="22">
        <f>IF($A68="","",SUMPRODUCT(('紐付け'!$A$4:$A$200=$A68)*('紐付け'!$C$4:$C$200&lt;&gt;"")*(COUNTIF('業務'!$C$4:$C$200,'紐付け'!$C$4:$C$200)=0))-AS68)</f>
        <v/>
      </c>
      <c r="AU68" s="22">
        <f>IF($A68="","",COUNTIF('契約'!$C$4:$C$200,$A68))</f>
        <v/>
      </c>
      <c r="AV68" s="22">
        <f>IF($A68="","",COUNTIFS('契約'!$C$4:$C$200,$A68,'契約'!$O$4:$O$200,"移管"))</f>
        <v/>
      </c>
      <c r="AW68" s="22">
        <f>IF($A68="","",COUNTIFS('契約'!$C$4:$C$200,$A68,'契約'!$O$4:$O$200,"一部"))</f>
        <v/>
      </c>
      <c r="AX68" s="22">
        <f>IF($A68="","",COUNTIFS('契約'!$C$4:$C$200,$A68,'契約'!$O$4:$O$200,"判定保留"))</f>
        <v/>
      </c>
      <c r="AY68" s="22">
        <f>IF($A68="","",COUNTIFS('契約'!$C$4:$C$200,$A68,'契約'!$O$4:$O$200,"留保"))</f>
        <v/>
      </c>
    </row>
    <row r="69">
      <c r="A69" s="17" t="n"/>
      <c r="B69" s="17" t="n"/>
      <c r="C69" s="17" t="n"/>
      <c r="D69" s="17" t="n"/>
      <c r="E69" s="17" t="n"/>
      <c r="F69" s="17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9">
        <f>IF(COUNT(G69:R69)=0,"",SUM(G69:R69))</f>
        <v/>
      </c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9">
        <f>IF(COUNT(T69:AE69)=0,"",SUM(T69:AE69))</f>
        <v/>
      </c>
      <c r="AG69" s="17" t="n"/>
      <c r="AH69" s="17" t="n"/>
      <c r="AI69" s="17" t="n"/>
      <c r="AJ69" s="17" t="n"/>
      <c r="AK69" s="17" t="n"/>
      <c r="AL69" s="22">
        <f>IF($A69="","",IF(OR(AM69="移管",AN69="移管"),"移管",IF(OR(AM69="一部",AN69="一部"),"一部",IF(OR(AM69="判定保留",AN69="判定保留"),"判定保留",IF(OR(AM69="留保",AN69="留保"),"留保","対象外")))))</f>
        <v/>
      </c>
      <c r="AM69" s="22">
        <f>IF($A69="","",IF(AU69=0,"対象外",IF(AV69=AU69,"移管",IF(AV69+AW69&gt;0,"一部",IF(AX69&gt;0,"判定保留",IF(AY69&gt;0,"留保","対象外"))))))</f>
        <v/>
      </c>
      <c r="AN69" s="22">
        <f>IF($A69="","",IF((AO69+AS69+AT69)=0,"対象外",IF(AP69=(AO69+AS69+AT69),"移管",IF(AP69&gt;0,"一部",IF(AR69+AT69&gt;0,"判定保留",IF(AQ69+AS69&gt;0,"留保","対象外"))))))</f>
        <v/>
      </c>
      <c r="AO69" s="22">
        <f>IF($A69="","",SUMPRODUCT((COUNTIFS('紐付け'!$A$4:$A$200,$A69,'紐付け'!$C$4:$C$200,'業務'!$C$4:$C$200)&gt;0)*('業務'!$A$4:$A$200&lt;&gt;"")))</f>
        <v/>
      </c>
      <c r="AP69" s="22">
        <f>IF($A69="","",SUMPRODUCT((COUNTIFS('紐付け'!$A$4:$A$200,$A69,'紐付け'!$C$4:$C$200,'業務'!$C$4:$C$200)&gt;0)*('業務'!$A$4:$A$200&lt;&gt;"")*('業務'!$P$4:$P$200="移管")))</f>
        <v/>
      </c>
      <c r="AQ69" s="22">
        <f>IF($A69="","",SUMPRODUCT((COUNTIFS('紐付け'!$A$4:$A$200,$A69,'紐付け'!$C$4:$C$200,'業務'!$C$4:$C$200)&gt;0)*('業務'!$A$4:$A$200&lt;&gt;"")*('業務'!$P$4:$P$200="留保")))</f>
        <v/>
      </c>
      <c r="AR69" s="22">
        <f>IF($A69="","",AO69-AP69-AQ69)</f>
        <v/>
      </c>
      <c r="AS69" s="22">
        <f>IF($A69="","",SUMPRODUCT(('紐付け'!$A$4:$A$200=$A69)*('紐付け'!$C$4:$C$200&lt;&gt;"")*(COUNTIF('業務'!$C$4:$C$200,'紐付け'!$C$4:$C$200)=0)*(COUNTIFS('システム'!$A$4:$A$200,'紐付け'!$C$4:$C$200,'システム'!$N$4:$N$200,"留保")&gt;0)))</f>
        <v/>
      </c>
      <c r="AT69" s="22">
        <f>IF($A69="","",SUMPRODUCT(('紐付け'!$A$4:$A$200=$A69)*('紐付け'!$C$4:$C$200&lt;&gt;"")*(COUNTIF('業務'!$C$4:$C$200,'紐付け'!$C$4:$C$200)=0))-AS69)</f>
        <v/>
      </c>
      <c r="AU69" s="22">
        <f>IF($A69="","",COUNTIF('契約'!$C$4:$C$200,$A69))</f>
        <v/>
      </c>
      <c r="AV69" s="22">
        <f>IF($A69="","",COUNTIFS('契約'!$C$4:$C$200,$A69,'契約'!$O$4:$O$200,"移管"))</f>
        <v/>
      </c>
      <c r="AW69" s="22">
        <f>IF($A69="","",COUNTIFS('契約'!$C$4:$C$200,$A69,'契約'!$O$4:$O$200,"一部"))</f>
        <v/>
      </c>
      <c r="AX69" s="22">
        <f>IF($A69="","",COUNTIFS('契約'!$C$4:$C$200,$A69,'契約'!$O$4:$O$200,"判定保留"))</f>
        <v/>
      </c>
      <c r="AY69" s="22">
        <f>IF($A69="","",COUNTIFS('契約'!$C$4:$C$200,$A69,'契約'!$O$4:$O$200,"留保"))</f>
        <v/>
      </c>
    </row>
    <row r="70">
      <c r="A70" s="17" t="n"/>
      <c r="B70" s="17" t="n"/>
      <c r="C70" s="17" t="n"/>
      <c r="D70" s="17" t="n"/>
      <c r="E70" s="17" t="n"/>
      <c r="F70" s="17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9">
        <f>IF(COUNT(G70:R70)=0,"",SUM(G70:R70))</f>
        <v/>
      </c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9">
        <f>IF(COUNT(T70:AE70)=0,"",SUM(T70:AE70))</f>
        <v/>
      </c>
      <c r="AG70" s="17" t="n"/>
      <c r="AH70" s="17" t="n"/>
      <c r="AI70" s="17" t="n"/>
      <c r="AJ70" s="17" t="n"/>
      <c r="AK70" s="17" t="n"/>
      <c r="AL70" s="22">
        <f>IF($A70="","",IF(OR(AM70="移管",AN70="移管"),"移管",IF(OR(AM70="一部",AN70="一部"),"一部",IF(OR(AM70="判定保留",AN70="判定保留"),"判定保留",IF(OR(AM70="留保",AN70="留保"),"留保","対象外")))))</f>
        <v/>
      </c>
      <c r="AM70" s="22">
        <f>IF($A70="","",IF(AU70=0,"対象外",IF(AV70=AU70,"移管",IF(AV70+AW70&gt;0,"一部",IF(AX70&gt;0,"判定保留",IF(AY70&gt;0,"留保","対象外"))))))</f>
        <v/>
      </c>
      <c r="AN70" s="22">
        <f>IF($A70="","",IF((AO70+AS70+AT70)=0,"対象外",IF(AP70=(AO70+AS70+AT70),"移管",IF(AP70&gt;0,"一部",IF(AR70+AT70&gt;0,"判定保留",IF(AQ70+AS70&gt;0,"留保","対象外"))))))</f>
        <v/>
      </c>
      <c r="AO70" s="22">
        <f>IF($A70="","",SUMPRODUCT((COUNTIFS('紐付け'!$A$4:$A$200,$A70,'紐付け'!$C$4:$C$200,'業務'!$C$4:$C$200)&gt;0)*('業務'!$A$4:$A$200&lt;&gt;"")))</f>
        <v/>
      </c>
      <c r="AP70" s="22">
        <f>IF($A70="","",SUMPRODUCT((COUNTIFS('紐付け'!$A$4:$A$200,$A70,'紐付け'!$C$4:$C$200,'業務'!$C$4:$C$200)&gt;0)*('業務'!$A$4:$A$200&lt;&gt;"")*('業務'!$P$4:$P$200="移管")))</f>
        <v/>
      </c>
      <c r="AQ70" s="22">
        <f>IF($A70="","",SUMPRODUCT((COUNTIFS('紐付け'!$A$4:$A$200,$A70,'紐付け'!$C$4:$C$200,'業務'!$C$4:$C$200)&gt;0)*('業務'!$A$4:$A$200&lt;&gt;"")*('業務'!$P$4:$P$200="留保")))</f>
        <v/>
      </c>
      <c r="AR70" s="22">
        <f>IF($A70="","",AO70-AP70-AQ70)</f>
        <v/>
      </c>
      <c r="AS70" s="22">
        <f>IF($A70="","",SUMPRODUCT(('紐付け'!$A$4:$A$200=$A70)*('紐付け'!$C$4:$C$200&lt;&gt;"")*(COUNTIF('業務'!$C$4:$C$200,'紐付け'!$C$4:$C$200)=0)*(COUNTIFS('システム'!$A$4:$A$200,'紐付け'!$C$4:$C$200,'システム'!$N$4:$N$200,"留保")&gt;0)))</f>
        <v/>
      </c>
      <c r="AT70" s="22">
        <f>IF($A70="","",SUMPRODUCT(('紐付け'!$A$4:$A$200=$A70)*('紐付け'!$C$4:$C$200&lt;&gt;"")*(COUNTIF('業務'!$C$4:$C$200,'紐付け'!$C$4:$C$200)=0))-AS70)</f>
        <v/>
      </c>
      <c r="AU70" s="22">
        <f>IF($A70="","",COUNTIF('契約'!$C$4:$C$200,$A70))</f>
        <v/>
      </c>
      <c r="AV70" s="22">
        <f>IF($A70="","",COUNTIFS('契約'!$C$4:$C$200,$A70,'契約'!$O$4:$O$200,"移管"))</f>
        <v/>
      </c>
      <c r="AW70" s="22">
        <f>IF($A70="","",COUNTIFS('契約'!$C$4:$C$200,$A70,'契約'!$O$4:$O$200,"一部"))</f>
        <v/>
      </c>
      <c r="AX70" s="22">
        <f>IF($A70="","",COUNTIFS('契約'!$C$4:$C$200,$A70,'契約'!$O$4:$O$200,"判定保留"))</f>
        <v/>
      </c>
      <c r="AY70" s="22">
        <f>IF($A70="","",COUNTIFS('契約'!$C$4:$C$200,$A70,'契約'!$O$4:$O$200,"留保"))</f>
        <v/>
      </c>
    </row>
    <row r="71">
      <c r="A71" s="17" t="n"/>
      <c r="B71" s="17" t="n"/>
      <c r="C71" s="17" t="n"/>
      <c r="D71" s="17" t="n"/>
      <c r="E71" s="17" t="n"/>
      <c r="F71" s="17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9">
        <f>IF(COUNT(G71:R71)=0,"",SUM(G71:R71))</f>
        <v/>
      </c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9">
        <f>IF(COUNT(T71:AE71)=0,"",SUM(T71:AE71))</f>
        <v/>
      </c>
      <c r="AG71" s="17" t="n"/>
      <c r="AH71" s="17" t="n"/>
      <c r="AI71" s="17" t="n"/>
      <c r="AJ71" s="17" t="n"/>
      <c r="AK71" s="17" t="n"/>
      <c r="AL71" s="22">
        <f>IF($A71="","",IF(OR(AM71="移管",AN71="移管"),"移管",IF(OR(AM71="一部",AN71="一部"),"一部",IF(OR(AM71="判定保留",AN71="判定保留"),"判定保留",IF(OR(AM71="留保",AN71="留保"),"留保","対象外")))))</f>
        <v/>
      </c>
      <c r="AM71" s="22">
        <f>IF($A71="","",IF(AU71=0,"対象外",IF(AV71=AU71,"移管",IF(AV71+AW71&gt;0,"一部",IF(AX71&gt;0,"判定保留",IF(AY71&gt;0,"留保","対象外"))))))</f>
        <v/>
      </c>
      <c r="AN71" s="22">
        <f>IF($A71="","",IF((AO71+AS71+AT71)=0,"対象外",IF(AP71=(AO71+AS71+AT71),"移管",IF(AP71&gt;0,"一部",IF(AR71+AT71&gt;0,"判定保留",IF(AQ71+AS71&gt;0,"留保","対象外"))))))</f>
        <v/>
      </c>
      <c r="AO71" s="22">
        <f>IF($A71="","",SUMPRODUCT((COUNTIFS('紐付け'!$A$4:$A$200,$A71,'紐付け'!$C$4:$C$200,'業務'!$C$4:$C$200)&gt;0)*('業務'!$A$4:$A$200&lt;&gt;"")))</f>
        <v/>
      </c>
      <c r="AP71" s="22">
        <f>IF($A71="","",SUMPRODUCT((COUNTIFS('紐付け'!$A$4:$A$200,$A71,'紐付け'!$C$4:$C$200,'業務'!$C$4:$C$200)&gt;0)*('業務'!$A$4:$A$200&lt;&gt;"")*('業務'!$P$4:$P$200="移管")))</f>
        <v/>
      </c>
      <c r="AQ71" s="22">
        <f>IF($A71="","",SUMPRODUCT((COUNTIFS('紐付け'!$A$4:$A$200,$A71,'紐付け'!$C$4:$C$200,'業務'!$C$4:$C$200)&gt;0)*('業務'!$A$4:$A$200&lt;&gt;"")*('業務'!$P$4:$P$200="留保")))</f>
        <v/>
      </c>
      <c r="AR71" s="22">
        <f>IF($A71="","",AO71-AP71-AQ71)</f>
        <v/>
      </c>
      <c r="AS71" s="22">
        <f>IF($A71="","",SUMPRODUCT(('紐付け'!$A$4:$A$200=$A71)*('紐付け'!$C$4:$C$200&lt;&gt;"")*(COUNTIF('業務'!$C$4:$C$200,'紐付け'!$C$4:$C$200)=0)*(COUNTIFS('システム'!$A$4:$A$200,'紐付け'!$C$4:$C$200,'システム'!$N$4:$N$200,"留保")&gt;0)))</f>
        <v/>
      </c>
      <c r="AT71" s="22">
        <f>IF($A71="","",SUMPRODUCT(('紐付け'!$A$4:$A$200=$A71)*('紐付け'!$C$4:$C$200&lt;&gt;"")*(COUNTIF('業務'!$C$4:$C$200,'紐付け'!$C$4:$C$200)=0))-AS71)</f>
        <v/>
      </c>
      <c r="AU71" s="22">
        <f>IF($A71="","",COUNTIF('契約'!$C$4:$C$200,$A71))</f>
        <v/>
      </c>
      <c r="AV71" s="22">
        <f>IF($A71="","",COUNTIFS('契約'!$C$4:$C$200,$A71,'契約'!$O$4:$O$200,"移管"))</f>
        <v/>
      </c>
      <c r="AW71" s="22">
        <f>IF($A71="","",COUNTIFS('契約'!$C$4:$C$200,$A71,'契約'!$O$4:$O$200,"一部"))</f>
        <v/>
      </c>
      <c r="AX71" s="22">
        <f>IF($A71="","",COUNTIFS('契約'!$C$4:$C$200,$A71,'契約'!$O$4:$O$200,"判定保留"))</f>
        <v/>
      </c>
      <c r="AY71" s="22">
        <f>IF($A71="","",COUNTIFS('契約'!$C$4:$C$200,$A71,'契約'!$O$4:$O$200,"留保"))</f>
        <v/>
      </c>
    </row>
    <row r="72">
      <c r="A72" s="17" t="n"/>
      <c r="B72" s="17" t="n"/>
      <c r="C72" s="17" t="n"/>
      <c r="D72" s="17" t="n"/>
      <c r="E72" s="17" t="n"/>
      <c r="F72" s="17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9">
        <f>IF(COUNT(G72:R72)=0,"",SUM(G72:R72))</f>
        <v/>
      </c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9">
        <f>IF(COUNT(T72:AE72)=0,"",SUM(T72:AE72))</f>
        <v/>
      </c>
      <c r="AG72" s="17" t="n"/>
      <c r="AH72" s="17" t="n"/>
      <c r="AI72" s="17" t="n"/>
      <c r="AJ72" s="17" t="n"/>
      <c r="AK72" s="17" t="n"/>
      <c r="AL72" s="22">
        <f>IF($A72="","",IF(OR(AM72="移管",AN72="移管"),"移管",IF(OR(AM72="一部",AN72="一部"),"一部",IF(OR(AM72="判定保留",AN72="判定保留"),"判定保留",IF(OR(AM72="留保",AN72="留保"),"留保","対象外")))))</f>
        <v/>
      </c>
      <c r="AM72" s="22">
        <f>IF($A72="","",IF(AU72=0,"対象外",IF(AV72=AU72,"移管",IF(AV72+AW72&gt;0,"一部",IF(AX72&gt;0,"判定保留",IF(AY72&gt;0,"留保","対象外"))))))</f>
        <v/>
      </c>
      <c r="AN72" s="22">
        <f>IF($A72="","",IF((AO72+AS72+AT72)=0,"対象外",IF(AP72=(AO72+AS72+AT72),"移管",IF(AP72&gt;0,"一部",IF(AR72+AT72&gt;0,"判定保留",IF(AQ72+AS72&gt;0,"留保","対象外"))))))</f>
        <v/>
      </c>
      <c r="AO72" s="22">
        <f>IF($A72="","",SUMPRODUCT((COUNTIFS('紐付け'!$A$4:$A$200,$A72,'紐付け'!$C$4:$C$200,'業務'!$C$4:$C$200)&gt;0)*('業務'!$A$4:$A$200&lt;&gt;"")))</f>
        <v/>
      </c>
      <c r="AP72" s="22">
        <f>IF($A72="","",SUMPRODUCT((COUNTIFS('紐付け'!$A$4:$A$200,$A72,'紐付け'!$C$4:$C$200,'業務'!$C$4:$C$200)&gt;0)*('業務'!$A$4:$A$200&lt;&gt;"")*('業務'!$P$4:$P$200="移管")))</f>
        <v/>
      </c>
      <c r="AQ72" s="22">
        <f>IF($A72="","",SUMPRODUCT((COUNTIFS('紐付け'!$A$4:$A$200,$A72,'紐付け'!$C$4:$C$200,'業務'!$C$4:$C$200)&gt;0)*('業務'!$A$4:$A$200&lt;&gt;"")*('業務'!$P$4:$P$200="留保")))</f>
        <v/>
      </c>
      <c r="AR72" s="22">
        <f>IF($A72="","",AO72-AP72-AQ72)</f>
        <v/>
      </c>
      <c r="AS72" s="22">
        <f>IF($A72="","",SUMPRODUCT(('紐付け'!$A$4:$A$200=$A72)*('紐付け'!$C$4:$C$200&lt;&gt;"")*(COUNTIF('業務'!$C$4:$C$200,'紐付け'!$C$4:$C$200)=0)*(COUNTIFS('システム'!$A$4:$A$200,'紐付け'!$C$4:$C$200,'システム'!$N$4:$N$200,"留保")&gt;0)))</f>
        <v/>
      </c>
      <c r="AT72" s="22">
        <f>IF($A72="","",SUMPRODUCT(('紐付け'!$A$4:$A$200=$A72)*('紐付け'!$C$4:$C$200&lt;&gt;"")*(COUNTIF('業務'!$C$4:$C$200,'紐付け'!$C$4:$C$200)=0))-AS72)</f>
        <v/>
      </c>
      <c r="AU72" s="22">
        <f>IF($A72="","",COUNTIF('契約'!$C$4:$C$200,$A72))</f>
        <v/>
      </c>
      <c r="AV72" s="22">
        <f>IF($A72="","",COUNTIFS('契約'!$C$4:$C$200,$A72,'契約'!$O$4:$O$200,"移管"))</f>
        <v/>
      </c>
      <c r="AW72" s="22">
        <f>IF($A72="","",COUNTIFS('契約'!$C$4:$C$200,$A72,'契約'!$O$4:$O$200,"一部"))</f>
        <v/>
      </c>
      <c r="AX72" s="22">
        <f>IF($A72="","",COUNTIFS('契約'!$C$4:$C$200,$A72,'契約'!$O$4:$O$200,"判定保留"))</f>
        <v/>
      </c>
      <c r="AY72" s="22">
        <f>IF($A72="","",COUNTIFS('契約'!$C$4:$C$200,$A72,'契約'!$O$4:$O$200,"留保"))</f>
        <v/>
      </c>
    </row>
    <row r="73">
      <c r="A73" s="17" t="n"/>
      <c r="B73" s="17" t="n"/>
      <c r="C73" s="17" t="n"/>
      <c r="D73" s="17" t="n"/>
      <c r="E73" s="17" t="n"/>
      <c r="F73" s="17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9">
        <f>IF(COUNT(G73:R73)=0,"",SUM(G73:R73))</f>
        <v/>
      </c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9">
        <f>IF(COUNT(T73:AE73)=0,"",SUM(T73:AE73))</f>
        <v/>
      </c>
      <c r="AG73" s="17" t="n"/>
      <c r="AH73" s="17" t="n"/>
      <c r="AI73" s="17" t="n"/>
      <c r="AJ73" s="17" t="n"/>
      <c r="AK73" s="17" t="n"/>
      <c r="AL73" s="22">
        <f>IF($A73="","",IF(OR(AM73="移管",AN73="移管"),"移管",IF(OR(AM73="一部",AN73="一部"),"一部",IF(OR(AM73="判定保留",AN73="判定保留"),"判定保留",IF(OR(AM73="留保",AN73="留保"),"留保","対象外")))))</f>
        <v/>
      </c>
      <c r="AM73" s="22">
        <f>IF($A73="","",IF(AU73=0,"対象外",IF(AV73=AU73,"移管",IF(AV73+AW73&gt;0,"一部",IF(AX73&gt;0,"判定保留",IF(AY73&gt;0,"留保","対象外"))))))</f>
        <v/>
      </c>
      <c r="AN73" s="22">
        <f>IF($A73="","",IF((AO73+AS73+AT73)=0,"対象外",IF(AP73=(AO73+AS73+AT73),"移管",IF(AP73&gt;0,"一部",IF(AR73+AT73&gt;0,"判定保留",IF(AQ73+AS73&gt;0,"留保","対象外"))))))</f>
        <v/>
      </c>
      <c r="AO73" s="22">
        <f>IF($A73="","",SUMPRODUCT((COUNTIFS('紐付け'!$A$4:$A$200,$A73,'紐付け'!$C$4:$C$200,'業務'!$C$4:$C$200)&gt;0)*('業務'!$A$4:$A$200&lt;&gt;"")))</f>
        <v/>
      </c>
      <c r="AP73" s="22">
        <f>IF($A73="","",SUMPRODUCT((COUNTIFS('紐付け'!$A$4:$A$200,$A73,'紐付け'!$C$4:$C$200,'業務'!$C$4:$C$200)&gt;0)*('業務'!$A$4:$A$200&lt;&gt;"")*('業務'!$P$4:$P$200="移管")))</f>
        <v/>
      </c>
      <c r="AQ73" s="22">
        <f>IF($A73="","",SUMPRODUCT((COUNTIFS('紐付け'!$A$4:$A$200,$A73,'紐付け'!$C$4:$C$200,'業務'!$C$4:$C$200)&gt;0)*('業務'!$A$4:$A$200&lt;&gt;"")*('業務'!$P$4:$P$200="留保")))</f>
        <v/>
      </c>
      <c r="AR73" s="22">
        <f>IF($A73="","",AO73-AP73-AQ73)</f>
        <v/>
      </c>
      <c r="AS73" s="22">
        <f>IF($A73="","",SUMPRODUCT(('紐付け'!$A$4:$A$200=$A73)*('紐付け'!$C$4:$C$200&lt;&gt;"")*(COUNTIF('業務'!$C$4:$C$200,'紐付け'!$C$4:$C$200)=0)*(COUNTIFS('システム'!$A$4:$A$200,'紐付け'!$C$4:$C$200,'システム'!$N$4:$N$200,"留保")&gt;0)))</f>
        <v/>
      </c>
      <c r="AT73" s="22">
        <f>IF($A73="","",SUMPRODUCT(('紐付け'!$A$4:$A$200=$A73)*('紐付け'!$C$4:$C$200&lt;&gt;"")*(COUNTIF('業務'!$C$4:$C$200,'紐付け'!$C$4:$C$200)=0))-AS73)</f>
        <v/>
      </c>
      <c r="AU73" s="22">
        <f>IF($A73="","",COUNTIF('契約'!$C$4:$C$200,$A73))</f>
        <v/>
      </c>
      <c r="AV73" s="22">
        <f>IF($A73="","",COUNTIFS('契約'!$C$4:$C$200,$A73,'契約'!$O$4:$O$200,"移管"))</f>
        <v/>
      </c>
      <c r="AW73" s="22">
        <f>IF($A73="","",COUNTIFS('契約'!$C$4:$C$200,$A73,'契約'!$O$4:$O$200,"一部"))</f>
        <v/>
      </c>
      <c r="AX73" s="22">
        <f>IF($A73="","",COUNTIFS('契約'!$C$4:$C$200,$A73,'契約'!$O$4:$O$200,"判定保留"))</f>
        <v/>
      </c>
      <c r="AY73" s="22">
        <f>IF($A73="","",COUNTIFS('契約'!$C$4:$C$200,$A73,'契約'!$O$4:$O$200,"留保"))</f>
        <v/>
      </c>
    </row>
    <row r="74">
      <c r="A74" s="17" t="n"/>
      <c r="B74" s="17" t="n"/>
      <c r="C74" s="17" t="n"/>
      <c r="D74" s="17" t="n"/>
      <c r="E74" s="17" t="n"/>
      <c r="F74" s="17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9">
        <f>IF(COUNT(G74:R74)=0,"",SUM(G74:R74))</f>
        <v/>
      </c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9">
        <f>IF(COUNT(T74:AE74)=0,"",SUM(T74:AE74))</f>
        <v/>
      </c>
      <c r="AG74" s="17" t="n"/>
      <c r="AH74" s="17" t="n"/>
      <c r="AI74" s="17" t="n"/>
      <c r="AJ74" s="17" t="n"/>
      <c r="AK74" s="17" t="n"/>
      <c r="AL74" s="22">
        <f>IF($A74="","",IF(OR(AM74="移管",AN74="移管"),"移管",IF(OR(AM74="一部",AN74="一部"),"一部",IF(OR(AM74="判定保留",AN74="判定保留"),"判定保留",IF(OR(AM74="留保",AN74="留保"),"留保","対象外")))))</f>
        <v/>
      </c>
      <c r="AM74" s="22">
        <f>IF($A74="","",IF(AU74=0,"対象外",IF(AV74=AU74,"移管",IF(AV74+AW74&gt;0,"一部",IF(AX74&gt;0,"判定保留",IF(AY74&gt;0,"留保","対象外"))))))</f>
        <v/>
      </c>
      <c r="AN74" s="22">
        <f>IF($A74="","",IF((AO74+AS74+AT74)=0,"対象外",IF(AP74=(AO74+AS74+AT74),"移管",IF(AP74&gt;0,"一部",IF(AR74+AT74&gt;0,"判定保留",IF(AQ74+AS74&gt;0,"留保","対象外"))))))</f>
        <v/>
      </c>
      <c r="AO74" s="22">
        <f>IF($A74="","",SUMPRODUCT((COUNTIFS('紐付け'!$A$4:$A$200,$A74,'紐付け'!$C$4:$C$200,'業務'!$C$4:$C$200)&gt;0)*('業務'!$A$4:$A$200&lt;&gt;"")))</f>
        <v/>
      </c>
      <c r="AP74" s="22">
        <f>IF($A74="","",SUMPRODUCT((COUNTIFS('紐付け'!$A$4:$A$200,$A74,'紐付け'!$C$4:$C$200,'業務'!$C$4:$C$200)&gt;0)*('業務'!$A$4:$A$200&lt;&gt;"")*('業務'!$P$4:$P$200="移管")))</f>
        <v/>
      </c>
      <c r="AQ74" s="22">
        <f>IF($A74="","",SUMPRODUCT((COUNTIFS('紐付け'!$A$4:$A$200,$A74,'紐付け'!$C$4:$C$200,'業務'!$C$4:$C$200)&gt;0)*('業務'!$A$4:$A$200&lt;&gt;"")*('業務'!$P$4:$P$200="留保")))</f>
        <v/>
      </c>
      <c r="AR74" s="22">
        <f>IF($A74="","",AO74-AP74-AQ74)</f>
        <v/>
      </c>
      <c r="AS74" s="22">
        <f>IF($A74="","",SUMPRODUCT(('紐付け'!$A$4:$A$200=$A74)*('紐付け'!$C$4:$C$200&lt;&gt;"")*(COUNTIF('業務'!$C$4:$C$200,'紐付け'!$C$4:$C$200)=0)*(COUNTIFS('システム'!$A$4:$A$200,'紐付け'!$C$4:$C$200,'システム'!$N$4:$N$200,"留保")&gt;0)))</f>
        <v/>
      </c>
      <c r="AT74" s="22">
        <f>IF($A74="","",SUMPRODUCT(('紐付け'!$A$4:$A$200=$A74)*('紐付け'!$C$4:$C$200&lt;&gt;"")*(COUNTIF('業務'!$C$4:$C$200,'紐付け'!$C$4:$C$200)=0))-AS74)</f>
        <v/>
      </c>
      <c r="AU74" s="22">
        <f>IF($A74="","",COUNTIF('契約'!$C$4:$C$200,$A74))</f>
        <v/>
      </c>
      <c r="AV74" s="22">
        <f>IF($A74="","",COUNTIFS('契約'!$C$4:$C$200,$A74,'契約'!$O$4:$O$200,"移管"))</f>
        <v/>
      </c>
      <c r="AW74" s="22">
        <f>IF($A74="","",COUNTIFS('契約'!$C$4:$C$200,$A74,'契約'!$O$4:$O$200,"一部"))</f>
        <v/>
      </c>
      <c r="AX74" s="22">
        <f>IF($A74="","",COUNTIFS('契約'!$C$4:$C$200,$A74,'契約'!$O$4:$O$200,"判定保留"))</f>
        <v/>
      </c>
      <c r="AY74" s="22">
        <f>IF($A74="","",COUNTIFS('契約'!$C$4:$C$200,$A74,'契約'!$O$4:$O$200,"留保"))</f>
        <v/>
      </c>
    </row>
    <row r="75">
      <c r="A75" s="17" t="n"/>
      <c r="B75" s="17" t="n"/>
      <c r="C75" s="17" t="n"/>
      <c r="D75" s="17" t="n"/>
      <c r="E75" s="17" t="n"/>
      <c r="F75" s="17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9">
        <f>IF(COUNT(G75:R75)=0,"",SUM(G75:R75))</f>
        <v/>
      </c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9">
        <f>IF(COUNT(T75:AE75)=0,"",SUM(T75:AE75))</f>
        <v/>
      </c>
      <c r="AG75" s="17" t="n"/>
      <c r="AH75" s="17" t="n"/>
      <c r="AI75" s="17" t="n"/>
      <c r="AJ75" s="17" t="n"/>
      <c r="AK75" s="17" t="n"/>
      <c r="AL75" s="22">
        <f>IF($A75="","",IF(OR(AM75="移管",AN75="移管"),"移管",IF(OR(AM75="一部",AN75="一部"),"一部",IF(OR(AM75="判定保留",AN75="判定保留"),"判定保留",IF(OR(AM75="留保",AN75="留保"),"留保","対象外")))))</f>
        <v/>
      </c>
      <c r="AM75" s="22">
        <f>IF($A75="","",IF(AU75=0,"対象外",IF(AV75=AU75,"移管",IF(AV75+AW75&gt;0,"一部",IF(AX75&gt;0,"判定保留",IF(AY75&gt;0,"留保","対象外"))))))</f>
        <v/>
      </c>
      <c r="AN75" s="22">
        <f>IF($A75="","",IF((AO75+AS75+AT75)=0,"対象外",IF(AP75=(AO75+AS75+AT75),"移管",IF(AP75&gt;0,"一部",IF(AR75+AT75&gt;0,"判定保留",IF(AQ75+AS75&gt;0,"留保","対象外"))))))</f>
        <v/>
      </c>
      <c r="AO75" s="22">
        <f>IF($A75="","",SUMPRODUCT((COUNTIFS('紐付け'!$A$4:$A$200,$A75,'紐付け'!$C$4:$C$200,'業務'!$C$4:$C$200)&gt;0)*('業務'!$A$4:$A$200&lt;&gt;"")))</f>
        <v/>
      </c>
      <c r="AP75" s="22">
        <f>IF($A75="","",SUMPRODUCT((COUNTIFS('紐付け'!$A$4:$A$200,$A75,'紐付け'!$C$4:$C$200,'業務'!$C$4:$C$200)&gt;0)*('業務'!$A$4:$A$200&lt;&gt;"")*('業務'!$P$4:$P$200="移管")))</f>
        <v/>
      </c>
      <c r="AQ75" s="22">
        <f>IF($A75="","",SUMPRODUCT((COUNTIFS('紐付け'!$A$4:$A$200,$A75,'紐付け'!$C$4:$C$200,'業務'!$C$4:$C$200)&gt;0)*('業務'!$A$4:$A$200&lt;&gt;"")*('業務'!$P$4:$P$200="留保")))</f>
        <v/>
      </c>
      <c r="AR75" s="22">
        <f>IF($A75="","",AO75-AP75-AQ75)</f>
        <v/>
      </c>
      <c r="AS75" s="22">
        <f>IF($A75="","",SUMPRODUCT(('紐付け'!$A$4:$A$200=$A75)*('紐付け'!$C$4:$C$200&lt;&gt;"")*(COUNTIF('業務'!$C$4:$C$200,'紐付け'!$C$4:$C$200)=0)*(COUNTIFS('システム'!$A$4:$A$200,'紐付け'!$C$4:$C$200,'システム'!$N$4:$N$200,"留保")&gt;0)))</f>
        <v/>
      </c>
      <c r="AT75" s="22">
        <f>IF($A75="","",SUMPRODUCT(('紐付け'!$A$4:$A$200=$A75)*('紐付け'!$C$4:$C$200&lt;&gt;"")*(COUNTIF('業務'!$C$4:$C$200,'紐付け'!$C$4:$C$200)=0))-AS75)</f>
        <v/>
      </c>
      <c r="AU75" s="22">
        <f>IF($A75="","",COUNTIF('契約'!$C$4:$C$200,$A75))</f>
        <v/>
      </c>
      <c r="AV75" s="22">
        <f>IF($A75="","",COUNTIFS('契約'!$C$4:$C$200,$A75,'契約'!$O$4:$O$200,"移管"))</f>
        <v/>
      </c>
      <c r="AW75" s="22">
        <f>IF($A75="","",COUNTIFS('契約'!$C$4:$C$200,$A75,'契約'!$O$4:$O$200,"一部"))</f>
        <v/>
      </c>
      <c r="AX75" s="22">
        <f>IF($A75="","",COUNTIFS('契約'!$C$4:$C$200,$A75,'契約'!$O$4:$O$200,"判定保留"))</f>
        <v/>
      </c>
      <c r="AY75" s="22">
        <f>IF($A75="","",COUNTIFS('契約'!$C$4:$C$200,$A75,'契約'!$O$4:$O$200,"留保"))</f>
        <v/>
      </c>
    </row>
    <row r="76">
      <c r="A76" s="17" t="n"/>
      <c r="B76" s="17" t="n"/>
      <c r="C76" s="17" t="n"/>
      <c r="D76" s="17" t="n"/>
      <c r="E76" s="17" t="n"/>
      <c r="F76" s="17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9">
        <f>IF(COUNT(G76:R76)=0,"",SUM(G76:R76))</f>
        <v/>
      </c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9">
        <f>IF(COUNT(T76:AE76)=0,"",SUM(T76:AE76))</f>
        <v/>
      </c>
      <c r="AG76" s="17" t="n"/>
      <c r="AH76" s="17" t="n"/>
      <c r="AI76" s="17" t="n"/>
      <c r="AJ76" s="17" t="n"/>
      <c r="AK76" s="17" t="n"/>
      <c r="AL76" s="22">
        <f>IF($A76="","",IF(OR(AM76="移管",AN76="移管"),"移管",IF(OR(AM76="一部",AN76="一部"),"一部",IF(OR(AM76="判定保留",AN76="判定保留"),"判定保留",IF(OR(AM76="留保",AN76="留保"),"留保","対象外")))))</f>
        <v/>
      </c>
      <c r="AM76" s="22">
        <f>IF($A76="","",IF(AU76=0,"対象外",IF(AV76=AU76,"移管",IF(AV76+AW76&gt;0,"一部",IF(AX76&gt;0,"判定保留",IF(AY76&gt;0,"留保","対象外"))))))</f>
        <v/>
      </c>
      <c r="AN76" s="22">
        <f>IF($A76="","",IF((AO76+AS76+AT76)=0,"対象外",IF(AP76=(AO76+AS76+AT76),"移管",IF(AP76&gt;0,"一部",IF(AR76+AT76&gt;0,"判定保留",IF(AQ76+AS76&gt;0,"留保","対象外"))))))</f>
        <v/>
      </c>
      <c r="AO76" s="22">
        <f>IF($A76="","",SUMPRODUCT((COUNTIFS('紐付け'!$A$4:$A$200,$A76,'紐付け'!$C$4:$C$200,'業務'!$C$4:$C$200)&gt;0)*('業務'!$A$4:$A$200&lt;&gt;"")))</f>
        <v/>
      </c>
      <c r="AP76" s="22">
        <f>IF($A76="","",SUMPRODUCT((COUNTIFS('紐付け'!$A$4:$A$200,$A76,'紐付け'!$C$4:$C$200,'業務'!$C$4:$C$200)&gt;0)*('業務'!$A$4:$A$200&lt;&gt;"")*('業務'!$P$4:$P$200="移管")))</f>
        <v/>
      </c>
      <c r="AQ76" s="22">
        <f>IF($A76="","",SUMPRODUCT((COUNTIFS('紐付け'!$A$4:$A$200,$A76,'紐付け'!$C$4:$C$200,'業務'!$C$4:$C$200)&gt;0)*('業務'!$A$4:$A$200&lt;&gt;"")*('業務'!$P$4:$P$200="留保")))</f>
        <v/>
      </c>
      <c r="AR76" s="22">
        <f>IF($A76="","",AO76-AP76-AQ76)</f>
        <v/>
      </c>
      <c r="AS76" s="22">
        <f>IF($A76="","",SUMPRODUCT(('紐付け'!$A$4:$A$200=$A76)*('紐付け'!$C$4:$C$200&lt;&gt;"")*(COUNTIF('業務'!$C$4:$C$200,'紐付け'!$C$4:$C$200)=0)*(COUNTIFS('システム'!$A$4:$A$200,'紐付け'!$C$4:$C$200,'システム'!$N$4:$N$200,"留保")&gt;0)))</f>
        <v/>
      </c>
      <c r="AT76" s="22">
        <f>IF($A76="","",SUMPRODUCT(('紐付け'!$A$4:$A$200=$A76)*('紐付け'!$C$4:$C$200&lt;&gt;"")*(COUNTIF('業務'!$C$4:$C$200,'紐付け'!$C$4:$C$200)=0))-AS76)</f>
        <v/>
      </c>
      <c r="AU76" s="22">
        <f>IF($A76="","",COUNTIF('契約'!$C$4:$C$200,$A76))</f>
        <v/>
      </c>
      <c r="AV76" s="22">
        <f>IF($A76="","",COUNTIFS('契約'!$C$4:$C$200,$A76,'契約'!$O$4:$O$200,"移管"))</f>
        <v/>
      </c>
      <c r="AW76" s="22">
        <f>IF($A76="","",COUNTIFS('契約'!$C$4:$C$200,$A76,'契約'!$O$4:$O$200,"一部"))</f>
        <v/>
      </c>
      <c r="AX76" s="22">
        <f>IF($A76="","",COUNTIFS('契約'!$C$4:$C$200,$A76,'契約'!$O$4:$O$200,"判定保留"))</f>
        <v/>
      </c>
      <c r="AY76" s="22">
        <f>IF($A76="","",COUNTIFS('契約'!$C$4:$C$200,$A76,'契約'!$O$4:$O$200,"留保"))</f>
        <v/>
      </c>
    </row>
    <row r="77">
      <c r="A77" s="17" t="n"/>
      <c r="B77" s="17" t="n"/>
      <c r="C77" s="17" t="n"/>
      <c r="D77" s="17" t="n"/>
      <c r="E77" s="17" t="n"/>
      <c r="F77" s="17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9">
        <f>IF(COUNT(G77:R77)=0,"",SUM(G77:R77))</f>
        <v/>
      </c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9">
        <f>IF(COUNT(T77:AE77)=0,"",SUM(T77:AE77))</f>
        <v/>
      </c>
      <c r="AG77" s="17" t="n"/>
      <c r="AH77" s="17" t="n"/>
      <c r="AI77" s="17" t="n"/>
      <c r="AJ77" s="17" t="n"/>
      <c r="AK77" s="17" t="n"/>
      <c r="AL77" s="22">
        <f>IF($A77="","",IF(OR(AM77="移管",AN77="移管"),"移管",IF(OR(AM77="一部",AN77="一部"),"一部",IF(OR(AM77="判定保留",AN77="判定保留"),"判定保留",IF(OR(AM77="留保",AN77="留保"),"留保","対象外")))))</f>
        <v/>
      </c>
      <c r="AM77" s="22">
        <f>IF($A77="","",IF(AU77=0,"対象外",IF(AV77=AU77,"移管",IF(AV77+AW77&gt;0,"一部",IF(AX77&gt;0,"判定保留",IF(AY77&gt;0,"留保","対象外"))))))</f>
        <v/>
      </c>
      <c r="AN77" s="22">
        <f>IF($A77="","",IF((AO77+AS77+AT77)=0,"対象外",IF(AP77=(AO77+AS77+AT77),"移管",IF(AP77&gt;0,"一部",IF(AR77+AT77&gt;0,"判定保留",IF(AQ77+AS77&gt;0,"留保","対象外"))))))</f>
        <v/>
      </c>
      <c r="AO77" s="22">
        <f>IF($A77="","",SUMPRODUCT((COUNTIFS('紐付け'!$A$4:$A$200,$A77,'紐付け'!$C$4:$C$200,'業務'!$C$4:$C$200)&gt;0)*('業務'!$A$4:$A$200&lt;&gt;"")))</f>
        <v/>
      </c>
      <c r="AP77" s="22">
        <f>IF($A77="","",SUMPRODUCT((COUNTIFS('紐付け'!$A$4:$A$200,$A77,'紐付け'!$C$4:$C$200,'業務'!$C$4:$C$200)&gt;0)*('業務'!$A$4:$A$200&lt;&gt;"")*('業務'!$P$4:$P$200="移管")))</f>
        <v/>
      </c>
      <c r="AQ77" s="22">
        <f>IF($A77="","",SUMPRODUCT((COUNTIFS('紐付け'!$A$4:$A$200,$A77,'紐付け'!$C$4:$C$200,'業務'!$C$4:$C$200)&gt;0)*('業務'!$A$4:$A$200&lt;&gt;"")*('業務'!$P$4:$P$200="留保")))</f>
        <v/>
      </c>
      <c r="AR77" s="22">
        <f>IF($A77="","",AO77-AP77-AQ77)</f>
        <v/>
      </c>
      <c r="AS77" s="22">
        <f>IF($A77="","",SUMPRODUCT(('紐付け'!$A$4:$A$200=$A77)*('紐付け'!$C$4:$C$200&lt;&gt;"")*(COUNTIF('業務'!$C$4:$C$200,'紐付け'!$C$4:$C$200)=0)*(COUNTIFS('システム'!$A$4:$A$200,'紐付け'!$C$4:$C$200,'システム'!$N$4:$N$200,"留保")&gt;0)))</f>
        <v/>
      </c>
      <c r="AT77" s="22">
        <f>IF($A77="","",SUMPRODUCT(('紐付け'!$A$4:$A$200=$A77)*('紐付け'!$C$4:$C$200&lt;&gt;"")*(COUNTIF('業務'!$C$4:$C$200,'紐付け'!$C$4:$C$200)=0))-AS77)</f>
        <v/>
      </c>
      <c r="AU77" s="22">
        <f>IF($A77="","",COUNTIF('契約'!$C$4:$C$200,$A77))</f>
        <v/>
      </c>
      <c r="AV77" s="22">
        <f>IF($A77="","",COUNTIFS('契約'!$C$4:$C$200,$A77,'契約'!$O$4:$O$200,"移管"))</f>
        <v/>
      </c>
      <c r="AW77" s="22">
        <f>IF($A77="","",COUNTIFS('契約'!$C$4:$C$200,$A77,'契約'!$O$4:$O$200,"一部"))</f>
        <v/>
      </c>
      <c r="AX77" s="22">
        <f>IF($A77="","",COUNTIFS('契約'!$C$4:$C$200,$A77,'契約'!$O$4:$O$200,"判定保留"))</f>
        <v/>
      </c>
      <c r="AY77" s="22">
        <f>IF($A77="","",COUNTIFS('契約'!$C$4:$C$200,$A77,'契約'!$O$4:$O$200,"留保"))</f>
        <v/>
      </c>
    </row>
    <row r="78">
      <c r="A78" s="17" t="n"/>
      <c r="B78" s="17" t="n"/>
      <c r="C78" s="17" t="n"/>
      <c r="D78" s="17" t="n"/>
      <c r="E78" s="17" t="n"/>
      <c r="F78" s="17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9">
        <f>IF(COUNT(G78:R78)=0,"",SUM(G78:R78))</f>
        <v/>
      </c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9">
        <f>IF(COUNT(T78:AE78)=0,"",SUM(T78:AE78))</f>
        <v/>
      </c>
      <c r="AG78" s="17" t="n"/>
      <c r="AH78" s="17" t="n"/>
      <c r="AI78" s="17" t="n"/>
      <c r="AJ78" s="17" t="n"/>
      <c r="AK78" s="17" t="n"/>
      <c r="AL78" s="22">
        <f>IF($A78="","",IF(OR(AM78="移管",AN78="移管"),"移管",IF(OR(AM78="一部",AN78="一部"),"一部",IF(OR(AM78="判定保留",AN78="判定保留"),"判定保留",IF(OR(AM78="留保",AN78="留保"),"留保","対象外")))))</f>
        <v/>
      </c>
      <c r="AM78" s="22">
        <f>IF($A78="","",IF(AU78=0,"対象外",IF(AV78=AU78,"移管",IF(AV78+AW78&gt;0,"一部",IF(AX78&gt;0,"判定保留",IF(AY78&gt;0,"留保","対象外"))))))</f>
        <v/>
      </c>
      <c r="AN78" s="22">
        <f>IF($A78="","",IF((AO78+AS78+AT78)=0,"対象外",IF(AP78=(AO78+AS78+AT78),"移管",IF(AP78&gt;0,"一部",IF(AR78+AT78&gt;0,"判定保留",IF(AQ78+AS78&gt;0,"留保","対象外"))))))</f>
        <v/>
      </c>
      <c r="AO78" s="22">
        <f>IF($A78="","",SUMPRODUCT((COUNTIFS('紐付け'!$A$4:$A$200,$A78,'紐付け'!$C$4:$C$200,'業務'!$C$4:$C$200)&gt;0)*('業務'!$A$4:$A$200&lt;&gt;"")))</f>
        <v/>
      </c>
      <c r="AP78" s="22">
        <f>IF($A78="","",SUMPRODUCT((COUNTIFS('紐付け'!$A$4:$A$200,$A78,'紐付け'!$C$4:$C$200,'業務'!$C$4:$C$200)&gt;0)*('業務'!$A$4:$A$200&lt;&gt;"")*('業務'!$P$4:$P$200="移管")))</f>
        <v/>
      </c>
      <c r="AQ78" s="22">
        <f>IF($A78="","",SUMPRODUCT((COUNTIFS('紐付け'!$A$4:$A$200,$A78,'紐付け'!$C$4:$C$200,'業務'!$C$4:$C$200)&gt;0)*('業務'!$A$4:$A$200&lt;&gt;"")*('業務'!$P$4:$P$200="留保")))</f>
        <v/>
      </c>
      <c r="AR78" s="22">
        <f>IF($A78="","",AO78-AP78-AQ78)</f>
        <v/>
      </c>
      <c r="AS78" s="22">
        <f>IF($A78="","",SUMPRODUCT(('紐付け'!$A$4:$A$200=$A78)*('紐付け'!$C$4:$C$200&lt;&gt;"")*(COUNTIF('業務'!$C$4:$C$200,'紐付け'!$C$4:$C$200)=0)*(COUNTIFS('システム'!$A$4:$A$200,'紐付け'!$C$4:$C$200,'システム'!$N$4:$N$200,"留保")&gt;0)))</f>
        <v/>
      </c>
      <c r="AT78" s="22">
        <f>IF($A78="","",SUMPRODUCT(('紐付け'!$A$4:$A$200=$A78)*('紐付け'!$C$4:$C$200&lt;&gt;"")*(COUNTIF('業務'!$C$4:$C$200,'紐付け'!$C$4:$C$200)=0))-AS78)</f>
        <v/>
      </c>
      <c r="AU78" s="22">
        <f>IF($A78="","",COUNTIF('契約'!$C$4:$C$200,$A78))</f>
        <v/>
      </c>
      <c r="AV78" s="22">
        <f>IF($A78="","",COUNTIFS('契約'!$C$4:$C$200,$A78,'契約'!$O$4:$O$200,"移管"))</f>
        <v/>
      </c>
      <c r="AW78" s="22">
        <f>IF($A78="","",COUNTIFS('契約'!$C$4:$C$200,$A78,'契約'!$O$4:$O$200,"一部"))</f>
        <v/>
      </c>
      <c r="AX78" s="22">
        <f>IF($A78="","",COUNTIFS('契約'!$C$4:$C$200,$A78,'契約'!$O$4:$O$200,"判定保留"))</f>
        <v/>
      </c>
      <c r="AY78" s="22">
        <f>IF($A78="","",COUNTIFS('契約'!$C$4:$C$200,$A78,'契約'!$O$4:$O$200,"留保"))</f>
        <v/>
      </c>
    </row>
    <row r="79">
      <c r="A79" s="17" t="n"/>
      <c r="B79" s="17" t="n"/>
      <c r="C79" s="17" t="n"/>
      <c r="D79" s="17" t="n"/>
      <c r="E79" s="17" t="n"/>
      <c r="F79" s="17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9">
        <f>IF(COUNT(G79:R79)=0,"",SUM(G79:R79))</f>
        <v/>
      </c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9">
        <f>IF(COUNT(T79:AE79)=0,"",SUM(T79:AE79))</f>
        <v/>
      </c>
      <c r="AG79" s="17" t="n"/>
      <c r="AH79" s="17" t="n"/>
      <c r="AI79" s="17" t="n"/>
      <c r="AJ79" s="17" t="n"/>
      <c r="AK79" s="17" t="n"/>
      <c r="AL79" s="22">
        <f>IF($A79="","",IF(OR(AM79="移管",AN79="移管"),"移管",IF(OR(AM79="一部",AN79="一部"),"一部",IF(OR(AM79="判定保留",AN79="判定保留"),"判定保留",IF(OR(AM79="留保",AN79="留保"),"留保","対象外")))))</f>
        <v/>
      </c>
      <c r="AM79" s="22">
        <f>IF($A79="","",IF(AU79=0,"対象外",IF(AV79=AU79,"移管",IF(AV79+AW79&gt;0,"一部",IF(AX79&gt;0,"判定保留",IF(AY79&gt;0,"留保","対象外"))))))</f>
        <v/>
      </c>
      <c r="AN79" s="22">
        <f>IF($A79="","",IF((AO79+AS79+AT79)=0,"対象外",IF(AP79=(AO79+AS79+AT79),"移管",IF(AP79&gt;0,"一部",IF(AR79+AT79&gt;0,"判定保留",IF(AQ79+AS79&gt;0,"留保","対象外"))))))</f>
        <v/>
      </c>
      <c r="AO79" s="22">
        <f>IF($A79="","",SUMPRODUCT((COUNTIFS('紐付け'!$A$4:$A$200,$A79,'紐付け'!$C$4:$C$200,'業務'!$C$4:$C$200)&gt;0)*('業務'!$A$4:$A$200&lt;&gt;"")))</f>
        <v/>
      </c>
      <c r="AP79" s="22">
        <f>IF($A79="","",SUMPRODUCT((COUNTIFS('紐付け'!$A$4:$A$200,$A79,'紐付け'!$C$4:$C$200,'業務'!$C$4:$C$200)&gt;0)*('業務'!$A$4:$A$200&lt;&gt;"")*('業務'!$P$4:$P$200="移管")))</f>
        <v/>
      </c>
      <c r="AQ79" s="22">
        <f>IF($A79="","",SUMPRODUCT((COUNTIFS('紐付け'!$A$4:$A$200,$A79,'紐付け'!$C$4:$C$200,'業務'!$C$4:$C$200)&gt;0)*('業務'!$A$4:$A$200&lt;&gt;"")*('業務'!$P$4:$P$200="留保")))</f>
        <v/>
      </c>
      <c r="AR79" s="22">
        <f>IF($A79="","",AO79-AP79-AQ79)</f>
        <v/>
      </c>
      <c r="AS79" s="22">
        <f>IF($A79="","",SUMPRODUCT(('紐付け'!$A$4:$A$200=$A79)*('紐付け'!$C$4:$C$200&lt;&gt;"")*(COUNTIF('業務'!$C$4:$C$200,'紐付け'!$C$4:$C$200)=0)*(COUNTIFS('システム'!$A$4:$A$200,'紐付け'!$C$4:$C$200,'システム'!$N$4:$N$200,"留保")&gt;0)))</f>
        <v/>
      </c>
      <c r="AT79" s="22">
        <f>IF($A79="","",SUMPRODUCT(('紐付け'!$A$4:$A$200=$A79)*('紐付け'!$C$4:$C$200&lt;&gt;"")*(COUNTIF('業務'!$C$4:$C$200,'紐付け'!$C$4:$C$200)=0))-AS79)</f>
        <v/>
      </c>
      <c r="AU79" s="22">
        <f>IF($A79="","",COUNTIF('契約'!$C$4:$C$200,$A79))</f>
        <v/>
      </c>
      <c r="AV79" s="22">
        <f>IF($A79="","",COUNTIFS('契約'!$C$4:$C$200,$A79,'契約'!$O$4:$O$200,"移管"))</f>
        <v/>
      </c>
      <c r="AW79" s="22">
        <f>IF($A79="","",COUNTIFS('契約'!$C$4:$C$200,$A79,'契約'!$O$4:$O$200,"一部"))</f>
        <v/>
      </c>
      <c r="AX79" s="22">
        <f>IF($A79="","",COUNTIFS('契約'!$C$4:$C$200,$A79,'契約'!$O$4:$O$200,"判定保留"))</f>
        <v/>
      </c>
      <c r="AY79" s="22">
        <f>IF($A79="","",COUNTIFS('契約'!$C$4:$C$200,$A79,'契約'!$O$4:$O$200,"留保"))</f>
        <v/>
      </c>
    </row>
    <row r="80">
      <c r="A80" s="17" t="n"/>
      <c r="B80" s="17" t="n"/>
      <c r="C80" s="17" t="n"/>
      <c r="D80" s="17" t="n"/>
      <c r="E80" s="17" t="n"/>
      <c r="F80" s="17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9">
        <f>IF(COUNT(G80:R80)=0,"",SUM(G80:R80))</f>
        <v/>
      </c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9">
        <f>IF(COUNT(T80:AE80)=0,"",SUM(T80:AE80))</f>
        <v/>
      </c>
      <c r="AG80" s="17" t="n"/>
      <c r="AH80" s="17" t="n"/>
      <c r="AI80" s="17" t="n"/>
      <c r="AJ80" s="17" t="n"/>
      <c r="AK80" s="17" t="n"/>
      <c r="AL80" s="22">
        <f>IF($A80="","",IF(OR(AM80="移管",AN80="移管"),"移管",IF(OR(AM80="一部",AN80="一部"),"一部",IF(OR(AM80="判定保留",AN80="判定保留"),"判定保留",IF(OR(AM80="留保",AN80="留保"),"留保","対象外")))))</f>
        <v/>
      </c>
      <c r="AM80" s="22">
        <f>IF($A80="","",IF(AU80=0,"対象外",IF(AV80=AU80,"移管",IF(AV80+AW80&gt;0,"一部",IF(AX80&gt;0,"判定保留",IF(AY80&gt;0,"留保","対象外"))))))</f>
        <v/>
      </c>
      <c r="AN80" s="22">
        <f>IF($A80="","",IF((AO80+AS80+AT80)=0,"対象外",IF(AP80=(AO80+AS80+AT80),"移管",IF(AP80&gt;0,"一部",IF(AR80+AT80&gt;0,"判定保留",IF(AQ80+AS80&gt;0,"留保","対象外"))))))</f>
        <v/>
      </c>
      <c r="AO80" s="22">
        <f>IF($A80="","",SUMPRODUCT((COUNTIFS('紐付け'!$A$4:$A$200,$A80,'紐付け'!$C$4:$C$200,'業務'!$C$4:$C$200)&gt;0)*('業務'!$A$4:$A$200&lt;&gt;"")))</f>
        <v/>
      </c>
      <c r="AP80" s="22">
        <f>IF($A80="","",SUMPRODUCT((COUNTIFS('紐付け'!$A$4:$A$200,$A80,'紐付け'!$C$4:$C$200,'業務'!$C$4:$C$200)&gt;0)*('業務'!$A$4:$A$200&lt;&gt;"")*('業務'!$P$4:$P$200="移管")))</f>
        <v/>
      </c>
      <c r="AQ80" s="22">
        <f>IF($A80="","",SUMPRODUCT((COUNTIFS('紐付け'!$A$4:$A$200,$A80,'紐付け'!$C$4:$C$200,'業務'!$C$4:$C$200)&gt;0)*('業務'!$A$4:$A$200&lt;&gt;"")*('業務'!$P$4:$P$200="留保")))</f>
        <v/>
      </c>
      <c r="AR80" s="22">
        <f>IF($A80="","",AO80-AP80-AQ80)</f>
        <v/>
      </c>
      <c r="AS80" s="22">
        <f>IF($A80="","",SUMPRODUCT(('紐付け'!$A$4:$A$200=$A80)*('紐付け'!$C$4:$C$200&lt;&gt;"")*(COUNTIF('業務'!$C$4:$C$200,'紐付け'!$C$4:$C$200)=0)*(COUNTIFS('システム'!$A$4:$A$200,'紐付け'!$C$4:$C$200,'システム'!$N$4:$N$200,"留保")&gt;0)))</f>
        <v/>
      </c>
      <c r="AT80" s="22">
        <f>IF($A80="","",SUMPRODUCT(('紐付け'!$A$4:$A$200=$A80)*('紐付け'!$C$4:$C$200&lt;&gt;"")*(COUNTIF('業務'!$C$4:$C$200,'紐付け'!$C$4:$C$200)=0))-AS80)</f>
        <v/>
      </c>
      <c r="AU80" s="22">
        <f>IF($A80="","",COUNTIF('契約'!$C$4:$C$200,$A80))</f>
        <v/>
      </c>
      <c r="AV80" s="22">
        <f>IF($A80="","",COUNTIFS('契約'!$C$4:$C$200,$A80,'契約'!$O$4:$O$200,"移管"))</f>
        <v/>
      </c>
      <c r="AW80" s="22">
        <f>IF($A80="","",COUNTIFS('契約'!$C$4:$C$200,$A80,'契約'!$O$4:$O$200,"一部"))</f>
        <v/>
      </c>
      <c r="AX80" s="22">
        <f>IF($A80="","",COUNTIFS('契約'!$C$4:$C$200,$A80,'契約'!$O$4:$O$200,"判定保留"))</f>
        <v/>
      </c>
      <c r="AY80" s="22">
        <f>IF($A80="","",COUNTIFS('契約'!$C$4:$C$200,$A80,'契約'!$O$4:$O$200,"留保"))</f>
        <v/>
      </c>
    </row>
    <row r="81">
      <c r="A81" s="17" t="n"/>
      <c r="B81" s="17" t="n"/>
      <c r="C81" s="17" t="n"/>
      <c r="D81" s="17" t="n"/>
      <c r="E81" s="17" t="n"/>
      <c r="F81" s="17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9">
        <f>IF(COUNT(G81:R81)=0,"",SUM(G81:R81))</f>
        <v/>
      </c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9">
        <f>IF(COUNT(T81:AE81)=0,"",SUM(T81:AE81))</f>
        <v/>
      </c>
      <c r="AG81" s="17" t="n"/>
      <c r="AH81" s="17" t="n"/>
      <c r="AI81" s="17" t="n"/>
      <c r="AJ81" s="17" t="n"/>
      <c r="AK81" s="17" t="n"/>
      <c r="AL81" s="22">
        <f>IF($A81="","",IF(OR(AM81="移管",AN81="移管"),"移管",IF(OR(AM81="一部",AN81="一部"),"一部",IF(OR(AM81="判定保留",AN81="判定保留"),"判定保留",IF(OR(AM81="留保",AN81="留保"),"留保","対象外")))))</f>
        <v/>
      </c>
      <c r="AM81" s="22">
        <f>IF($A81="","",IF(AU81=0,"対象外",IF(AV81=AU81,"移管",IF(AV81+AW81&gt;0,"一部",IF(AX81&gt;0,"判定保留",IF(AY81&gt;0,"留保","対象外"))))))</f>
        <v/>
      </c>
      <c r="AN81" s="22">
        <f>IF($A81="","",IF((AO81+AS81+AT81)=0,"対象外",IF(AP81=(AO81+AS81+AT81),"移管",IF(AP81&gt;0,"一部",IF(AR81+AT81&gt;0,"判定保留",IF(AQ81+AS81&gt;0,"留保","対象外"))))))</f>
        <v/>
      </c>
      <c r="AO81" s="22">
        <f>IF($A81="","",SUMPRODUCT((COUNTIFS('紐付け'!$A$4:$A$200,$A81,'紐付け'!$C$4:$C$200,'業務'!$C$4:$C$200)&gt;0)*('業務'!$A$4:$A$200&lt;&gt;"")))</f>
        <v/>
      </c>
      <c r="AP81" s="22">
        <f>IF($A81="","",SUMPRODUCT((COUNTIFS('紐付け'!$A$4:$A$200,$A81,'紐付け'!$C$4:$C$200,'業務'!$C$4:$C$200)&gt;0)*('業務'!$A$4:$A$200&lt;&gt;"")*('業務'!$P$4:$P$200="移管")))</f>
        <v/>
      </c>
      <c r="AQ81" s="22">
        <f>IF($A81="","",SUMPRODUCT((COUNTIFS('紐付け'!$A$4:$A$200,$A81,'紐付け'!$C$4:$C$200,'業務'!$C$4:$C$200)&gt;0)*('業務'!$A$4:$A$200&lt;&gt;"")*('業務'!$P$4:$P$200="留保")))</f>
        <v/>
      </c>
      <c r="AR81" s="22">
        <f>IF($A81="","",AO81-AP81-AQ81)</f>
        <v/>
      </c>
      <c r="AS81" s="22">
        <f>IF($A81="","",SUMPRODUCT(('紐付け'!$A$4:$A$200=$A81)*('紐付け'!$C$4:$C$200&lt;&gt;"")*(COUNTIF('業務'!$C$4:$C$200,'紐付け'!$C$4:$C$200)=0)*(COUNTIFS('システム'!$A$4:$A$200,'紐付け'!$C$4:$C$200,'システム'!$N$4:$N$200,"留保")&gt;0)))</f>
        <v/>
      </c>
      <c r="AT81" s="22">
        <f>IF($A81="","",SUMPRODUCT(('紐付け'!$A$4:$A$200=$A81)*('紐付け'!$C$4:$C$200&lt;&gt;"")*(COUNTIF('業務'!$C$4:$C$200,'紐付け'!$C$4:$C$200)=0))-AS81)</f>
        <v/>
      </c>
      <c r="AU81" s="22">
        <f>IF($A81="","",COUNTIF('契約'!$C$4:$C$200,$A81))</f>
        <v/>
      </c>
      <c r="AV81" s="22">
        <f>IF($A81="","",COUNTIFS('契約'!$C$4:$C$200,$A81,'契約'!$O$4:$O$200,"移管"))</f>
        <v/>
      </c>
      <c r="AW81" s="22">
        <f>IF($A81="","",COUNTIFS('契約'!$C$4:$C$200,$A81,'契約'!$O$4:$O$200,"一部"))</f>
        <v/>
      </c>
      <c r="AX81" s="22">
        <f>IF($A81="","",COUNTIFS('契約'!$C$4:$C$200,$A81,'契約'!$O$4:$O$200,"判定保留"))</f>
        <v/>
      </c>
      <c r="AY81" s="22">
        <f>IF($A81="","",COUNTIFS('契約'!$C$4:$C$200,$A81,'契約'!$O$4:$O$200,"留保"))</f>
        <v/>
      </c>
    </row>
    <row r="82">
      <c r="A82" s="17" t="n"/>
      <c r="B82" s="17" t="n"/>
      <c r="C82" s="17" t="n"/>
      <c r="D82" s="17" t="n"/>
      <c r="E82" s="17" t="n"/>
      <c r="F82" s="17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9">
        <f>IF(COUNT(G82:R82)=0,"",SUM(G82:R82))</f>
        <v/>
      </c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9">
        <f>IF(COUNT(T82:AE82)=0,"",SUM(T82:AE82))</f>
        <v/>
      </c>
      <c r="AG82" s="17" t="n"/>
      <c r="AH82" s="17" t="n"/>
      <c r="AI82" s="17" t="n"/>
      <c r="AJ82" s="17" t="n"/>
      <c r="AK82" s="17" t="n"/>
      <c r="AL82" s="22">
        <f>IF($A82="","",IF(OR(AM82="移管",AN82="移管"),"移管",IF(OR(AM82="一部",AN82="一部"),"一部",IF(OR(AM82="判定保留",AN82="判定保留"),"判定保留",IF(OR(AM82="留保",AN82="留保"),"留保","対象外")))))</f>
        <v/>
      </c>
      <c r="AM82" s="22">
        <f>IF($A82="","",IF(AU82=0,"対象外",IF(AV82=AU82,"移管",IF(AV82+AW82&gt;0,"一部",IF(AX82&gt;0,"判定保留",IF(AY82&gt;0,"留保","対象外"))))))</f>
        <v/>
      </c>
      <c r="AN82" s="22">
        <f>IF($A82="","",IF((AO82+AS82+AT82)=0,"対象外",IF(AP82=(AO82+AS82+AT82),"移管",IF(AP82&gt;0,"一部",IF(AR82+AT82&gt;0,"判定保留",IF(AQ82+AS82&gt;0,"留保","対象外"))))))</f>
        <v/>
      </c>
      <c r="AO82" s="22">
        <f>IF($A82="","",SUMPRODUCT((COUNTIFS('紐付け'!$A$4:$A$200,$A82,'紐付け'!$C$4:$C$200,'業務'!$C$4:$C$200)&gt;0)*('業務'!$A$4:$A$200&lt;&gt;"")))</f>
        <v/>
      </c>
      <c r="AP82" s="22">
        <f>IF($A82="","",SUMPRODUCT((COUNTIFS('紐付け'!$A$4:$A$200,$A82,'紐付け'!$C$4:$C$200,'業務'!$C$4:$C$200)&gt;0)*('業務'!$A$4:$A$200&lt;&gt;"")*('業務'!$P$4:$P$200="移管")))</f>
        <v/>
      </c>
      <c r="AQ82" s="22">
        <f>IF($A82="","",SUMPRODUCT((COUNTIFS('紐付け'!$A$4:$A$200,$A82,'紐付け'!$C$4:$C$200,'業務'!$C$4:$C$200)&gt;0)*('業務'!$A$4:$A$200&lt;&gt;"")*('業務'!$P$4:$P$200="留保")))</f>
        <v/>
      </c>
      <c r="AR82" s="22">
        <f>IF($A82="","",AO82-AP82-AQ82)</f>
        <v/>
      </c>
      <c r="AS82" s="22">
        <f>IF($A82="","",SUMPRODUCT(('紐付け'!$A$4:$A$200=$A82)*('紐付け'!$C$4:$C$200&lt;&gt;"")*(COUNTIF('業務'!$C$4:$C$200,'紐付け'!$C$4:$C$200)=0)*(COUNTIFS('システム'!$A$4:$A$200,'紐付け'!$C$4:$C$200,'システム'!$N$4:$N$200,"留保")&gt;0)))</f>
        <v/>
      </c>
      <c r="AT82" s="22">
        <f>IF($A82="","",SUMPRODUCT(('紐付け'!$A$4:$A$200=$A82)*('紐付け'!$C$4:$C$200&lt;&gt;"")*(COUNTIF('業務'!$C$4:$C$200,'紐付け'!$C$4:$C$200)=0))-AS82)</f>
        <v/>
      </c>
      <c r="AU82" s="22">
        <f>IF($A82="","",COUNTIF('契約'!$C$4:$C$200,$A82))</f>
        <v/>
      </c>
      <c r="AV82" s="22">
        <f>IF($A82="","",COUNTIFS('契約'!$C$4:$C$200,$A82,'契約'!$O$4:$O$200,"移管"))</f>
        <v/>
      </c>
      <c r="AW82" s="22">
        <f>IF($A82="","",COUNTIFS('契約'!$C$4:$C$200,$A82,'契約'!$O$4:$O$200,"一部"))</f>
        <v/>
      </c>
      <c r="AX82" s="22">
        <f>IF($A82="","",COUNTIFS('契約'!$C$4:$C$200,$A82,'契約'!$O$4:$O$200,"判定保留"))</f>
        <v/>
      </c>
      <c r="AY82" s="22">
        <f>IF($A82="","",COUNTIFS('契約'!$C$4:$C$200,$A82,'契約'!$O$4:$O$200,"留保"))</f>
        <v/>
      </c>
    </row>
    <row r="83">
      <c r="A83" s="17" t="n"/>
      <c r="B83" s="17" t="n"/>
      <c r="C83" s="17" t="n"/>
      <c r="D83" s="17" t="n"/>
      <c r="E83" s="17" t="n"/>
      <c r="F83" s="17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9">
        <f>IF(COUNT(G83:R83)=0,"",SUM(G83:R83))</f>
        <v/>
      </c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9">
        <f>IF(COUNT(T83:AE83)=0,"",SUM(T83:AE83))</f>
        <v/>
      </c>
      <c r="AG83" s="17" t="n"/>
      <c r="AH83" s="17" t="n"/>
      <c r="AI83" s="17" t="n"/>
      <c r="AJ83" s="17" t="n"/>
      <c r="AK83" s="17" t="n"/>
      <c r="AL83" s="22">
        <f>IF($A83="","",IF(OR(AM83="移管",AN83="移管"),"移管",IF(OR(AM83="一部",AN83="一部"),"一部",IF(OR(AM83="判定保留",AN83="判定保留"),"判定保留",IF(OR(AM83="留保",AN83="留保"),"留保","対象外")))))</f>
        <v/>
      </c>
      <c r="AM83" s="22">
        <f>IF($A83="","",IF(AU83=0,"対象外",IF(AV83=AU83,"移管",IF(AV83+AW83&gt;0,"一部",IF(AX83&gt;0,"判定保留",IF(AY83&gt;0,"留保","対象外"))))))</f>
        <v/>
      </c>
      <c r="AN83" s="22">
        <f>IF($A83="","",IF((AO83+AS83+AT83)=0,"対象外",IF(AP83=(AO83+AS83+AT83),"移管",IF(AP83&gt;0,"一部",IF(AR83+AT83&gt;0,"判定保留",IF(AQ83+AS83&gt;0,"留保","対象外"))))))</f>
        <v/>
      </c>
      <c r="AO83" s="22">
        <f>IF($A83="","",SUMPRODUCT((COUNTIFS('紐付け'!$A$4:$A$200,$A83,'紐付け'!$C$4:$C$200,'業務'!$C$4:$C$200)&gt;0)*('業務'!$A$4:$A$200&lt;&gt;"")))</f>
        <v/>
      </c>
      <c r="AP83" s="22">
        <f>IF($A83="","",SUMPRODUCT((COUNTIFS('紐付け'!$A$4:$A$200,$A83,'紐付け'!$C$4:$C$200,'業務'!$C$4:$C$200)&gt;0)*('業務'!$A$4:$A$200&lt;&gt;"")*('業務'!$P$4:$P$200="移管")))</f>
        <v/>
      </c>
      <c r="AQ83" s="22">
        <f>IF($A83="","",SUMPRODUCT((COUNTIFS('紐付け'!$A$4:$A$200,$A83,'紐付け'!$C$4:$C$200,'業務'!$C$4:$C$200)&gt;0)*('業務'!$A$4:$A$200&lt;&gt;"")*('業務'!$P$4:$P$200="留保")))</f>
        <v/>
      </c>
      <c r="AR83" s="22">
        <f>IF($A83="","",AO83-AP83-AQ83)</f>
        <v/>
      </c>
      <c r="AS83" s="22">
        <f>IF($A83="","",SUMPRODUCT(('紐付け'!$A$4:$A$200=$A83)*('紐付け'!$C$4:$C$200&lt;&gt;"")*(COUNTIF('業務'!$C$4:$C$200,'紐付け'!$C$4:$C$200)=0)*(COUNTIFS('システム'!$A$4:$A$200,'紐付け'!$C$4:$C$200,'システム'!$N$4:$N$200,"留保")&gt;0)))</f>
        <v/>
      </c>
      <c r="AT83" s="22">
        <f>IF($A83="","",SUMPRODUCT(('紐付け'!$A$4:$A$200=$A83)*('紐付け'!$C$4:$C$200&lt;&gt;"")*(COUNTIF('業務'!$C$4:$C$200,'紐付け'!$C$4:$C$200)=0))-AS83)</f>
        <v/>
      </c>
      <c r="AU83" s="22">
        <f>IF($A83="","",COUNTIF('契約'!$C$4:$C$200,$A83))</f>
        <v/>
      </c>
      <c r="AV83" s="22">
        <f>IF($A83="","",COUNTIFS('契約'!$C$4:$C$200,$A83,'契約'!$O$4:$O$200,"移管"))</f>
        <v/>
      </c>
      <c r="AW83" s="22">
        <f>IF($A83="","",COUNTIFS('契約'!$C$4:$C$200,$A83,'契約'!$O$4:$O$200,"一部"))</f>
        <v/>
      </c>
      <c r="AX83" s="22">
        <f>IF($A83="","",COUNTIFS('契約'!$C$4:$C$200,$A83,'契約'!$O$4:$O$200,"判定保留"))</f>
        <v/>
      </c>
      <c r="AY83" s="22">
        <f>IF($A83="","",COUNTIFS('契約'!$C$4:$C$200,$A83,'契約'!$O$4:$O$200,"留保"))</f>
        <v/>
      </c>
    </row>
    <row r="84">
      <c r="A84" s="17" t="n"/>
      <c r="B84" s="17" t="n"/>
      <c r="C84" s="17" t="n"/>
      <c r="D84" s="17" t="n"/>
      <c r="E84" s="17" t="n"/>
      <c r="F84" s="17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9">
        <f>IF(COUNT(G84:R84)=0,"",SUM(G84:R84))</f>
        <v/>
      </c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9">
        <f>IF(COUNT(T84:AE84)=0,"",SUM(T84:AE84))</f>
        <v/>
      </c>
      <c r="AG84" s="17" t="n"/>
      <c r="AH84" s="17" t="n"/>
      <c r="AI84" s="17" t="n"/>
      <c r="AJ84" s="17" t="n"/>
      <c r="AK84" s="17" t="n"/>
      <c r="AL84" s="22">
        <f>IF($A84="","",IF(OR(AM84="移管",AN84="移管"),"移管",IF(OR(AM84="一部",AN84="一部"),"一部",IF(OR(AM84="判定保留",AN84="判定保留"),"判定保留",IF(OR(AM84="留保",AN84="留保"),"留保","対象外")))))</f>
        <v/>
      </c>
      <c r="AM84" s="22">
        <f>IF($A84="","",IF(AU84=0,"対象外",IF(AV84=AU84,"移管",IF(AV84+AW84&gt;0,"一部",IF(AX84&gt;0,"判定保留",IF(AY84&gt;0,"留保","対象外"))))))</f>
        <v/>
      </c>
      <c r="AN84" s="22">
        <f>IF($A84="","",IF((AO84+AS84+AT84)=0,"対象外",IF(AP84=(AO84+AS84+AT84),"移管",IF(AP84&gt;0,"一部",IF(AR84+AT84&gt;0,"判定保留",IF(AQ84+AS84&gt;0,"留保","対象外"))))))</f>
        <v/>
      </c>
      <c r="AO84" s="22">
        <f>IF($A84="","",SUMPRODUCT((COUNTIFS('紐付け'!$A$4:$A$200,$A84,'紐付け'!$C$4:$C$200,'業務'!$C$4:$C$200)&gt;0)*('業務'!$A$4:$A$200&lt;&gt;"")))</f>
        <v/>
      </c>
      <c r="AP84" s="22">
        <f>IF($A84="","",SUMPRODUCT((COUNTIFS('紐付け'!$A$4:$A$200,$A84,'紐付け'!$C$4:$C$200,'業務'!$C$4:$C$200)&gt;0)*('業務'!$A$4:$A$200&lt;&gt;"")*('業務'!$P$4:$P$200="移管")))</f>
        <v/>
      </c>
      <c r="AQ84" s="22">
        <f>IF($A84="","",SUMPRODUCT((COUNTIFS('紐付け'!$A$4:$A$200,$A84,'紐付け'!$C$4:$C$200,'業務'!$C$4:$C$200)&gt;0)*('業務'!$A$4:$A$200&lt;&gt;"")*('業務'!$P$4:$P$200="留保")))</f>
        <v/>
      </c>
      <c r="AR84" s="22">
        <f>IF($A84="","",AO84-AP84-AQ84)</f>
        <v/>
      </c>
      <c r="AS84" s="22">
        <f>IF($A84="","",SUMPRODUCT(('紐付け'!$A$4:$A$200=$A84)*('紐付け'!$C$4:$C$200&lt;&gt;"")*(COUNTIF('業務'!$C$4:$C$200,'紐付け'!$C$4:$C$200)=0)*(COUNTIFS('システム'!$A$4:$A$200,'紐付け'!$C$4:$C$200,'システム'!$N$4:$N$200,"留保")&gt;0)))</f>
        <v/>
      </c>
      <c r="AT84" s="22">
        <f>IF($A84="","",SUMPRODUCT(('紐付け'!$A$4:$A$200=$A84)*('紐付け'!$C$4:$C$200&lt;&gt;"")*(COUNTIF('業務'!$C$4:$C$200,'紐付け'!$C$4:$C$200)=0))-AS84)</f>
        <v/>
      </c>
      <c r="AU84" s="22">
        <f>IF($A84="","",COUNTIF('契約'!$C$4:$C$200,$A84))</f>
        <v/>
      </c>
      <c r="AV84" s="22">
        <f>IF($A84="","",COUNTIFS('契約'!$C$4:$C$200,$A84,'契約'!$O$4:$O$200,"移管"))</f>
        <v/>
      </c>
      <c r="AW84" s="22">
        <f>IF($A84="","",COUNTIFS('契約'!$C$4:$C$200,$A84,'契約'!$O$4:$O$200,"一部"))</f>
        <v/>
      </c>
      <c r="AX84" s="22">
        <f>IF($A84="","",COUNTIFS('契約'!$C$4:$C$200,$A84,'契約'!$O$4:$O$200,"判定保留"))</f>
        <v/>
      </c>
      <c r="AY84" s="22">
        <f>IF($A84="","",COUNTIFS('契約'!$C$4:$C$200,$A84,'契約'!$O$4:$O$200,"留保"))</f>
        <v/>
      </c>
    </row>
    <row r="85">
      <c r="A85" s="17" t="n"/>
      <c r="B85" s="17" t="n"/>
      <c r="C85" s="17" t="n"/>
      <c r="D85" s="17" t="n"/>
      <c r="E85" s="17" t="n"/>
      <c r="F85" s="17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9">
        <f>IF(COUNT(G85:R85)=0,"",SUM(G85:R85))</f>
        <v/>
      </c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9">
        <f>IF(COUNT(T85:AE85)=0,"",SUM(T85:AE85))</f>
        <v/>
      </c>
      <c r="AG85" s="17" t="n"/>
      <c r="AH85" s="17" t="n"/>
      <c r="AI85" s="17" t="n"/>
      <c r="AJ85" s="17" t="n"/>
      <c r="AK85" s="17" t="n"/>
      <c r="AL85" s="22">
        <f>IF($A85="","",IF(OR(AM85="移管",AN85="移管"),"移管",IF(OR(AM85="一部",AN85="一部"),"一部",IF(OR(AM85="判定保留",AN85="判定保留"),"判定保留",IF(OR(AM85="留保",AN85="留保"),"留保","対象外")))))</f>
        <v/>
      </c>
      <c r="AM85" s="22">
        <f>IF($A85="","",IF(AU85=0,"対象外",IF(AV85=AU85,"移管",IF(AV85+AW85&gt;0,"一部",IF(AX85&gt;0,"判定保留",IF(AY85&gt;0,"留保","対象外"))))))</f>
        <v/>
      </c>
      <c r="AN85" s="22">
        <f>IF($A85="","",IF((AO85+AS85+AT85)=0,"対象外",IF(AP85=(AO85+AS85+AT85),"移管",IF(AP85&gt;0,"一部",IF(AR85+AT85&gt;0,"判定保留",IF(AQ85+AS85&gt;0,"留保","対象外"))))))</f>
        <v/>
      </c>
      <c r="AO85" s="22">
        <f>IF($A85="","",SUMPRODUCT((COUNTIFS('紐付け'!$A$4:$A$200,$A85,'紐付け'!$C$4:$C$200,'業務'!$C$4:$C$200)&gt;0)*('業務'!$A$4:$A$200&lt;&gt;"")))</f>
        <v/>
      </c>
      <c r="AP85" s="22">
        <f>IF($A85="","",SUMPRODUCT((COUNTIFS('紐付け'!$A$4:$A$200,$A85,'紐付け'!$C$4:$C$200,'業務'!$C$4:$C$200)&gt;0)*('業務'!$A$4:$A$200&lt;&gt;"")*('業務'!$P$4:$P$200="移管")))</f>
        <v/>
      </c>
      <c r="AQ85" s="22">
        <f>IF($A85="","",SUMPRODUCT((COUNTIFS('紐付け'!$A$4:$A$200,$A85,'紐付け'!$C$4:$C$200,'業務'!$C$4:$C$200)&gt;0)*('業務'!$A$4:$A$200&lt;&gt;"")*('業務'!$P$4:$P$200="留保")))</f>
        <v/>
      </c>
      <c r="AR85" s="22">
        <f>IF($A85="","",AO85-AP85-AQ85)</f>
        <v/>
      </c>
      <c r="AS85" s="22">
        <f>IF($A85="","",SUMPRODUCT(('紐付け'!$A$4:$A$200=$A85)*('紐付け'!$C$4:$C$200&lt;&gt;"")*(COUNTIF('業務'!$C$4:$C$200,'紐付け'!$C$4:$C$200)=0)*(COUNTIFS('システム'!$A$4:$A$200,'紐付け'!$C$4:$C$200,'システム'!$N$4:$N$200,"留保")&gt;0)))</f>
        <v/>
      </c>
      <c r="AT85" s="22">
        <f>IF($A85="","",SUMPRODUCT(('紐付け'!$A$4:$A$200=$A85)*('紐付け'!$C$4:$C$200&lt;&gt;"")*(COUNTIF('業務'!$C$4:$C$200,'紐付け'!$C$4:$C$200)=0))-AS85)</f>
        <v/>
      </c>
      <c r="AU85" s="22">
        <f>IF($A85="","",COUNTIF('契約'!$C$4:$C$200,$A85))</f>
        <v/>
      </c>
      <c r="AV85" s="22">
        <f>IF($A85="","",COUNTIFS('契約'!$C$4:$C$200,$A85,'契約'!$O$4:$O$200,"移管"))</f>
        <v/>
      </c>
      <c r="AW85" s="22">
        <f>IF($A85="","",COUNTIFS('契約'!$C$4:$C$200,$A85,'契約'!$O$4:$O$200,"一部"))</f>
        <v/>
      </c>
      <c r="AX85" s="22">
        <f>IF($A85="","",COUNTIFS('契約'!$C$4:$C$200,$A85,'契約'!$O$4:$O$200,"判定保留"))</f>
        <v/>
      </c>
      <c r="AY85" s="22">
        <f>IF($A85="","",COUNTIFS('契約'!$C$4:$C$200,$A85,'契約'!$O$4:$O$200,"留保"))</f>
        <v/>
      </c>
    </row>
    <row r="86">
      <c r="A86" s="17" t="n"/>
      <c r="B86" s="17" t="n"/>
      <c r="C86" s="17" t="n"/>
      <c r="D86" s="17" t="n"/>
      <c r="E86" s="17" t="n"/>
      <c r="F86" s="17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9">
        <f>IF(COUNT(G86:R86)=0,"",SUM(G86:R86))</f>
        <v/>
      </c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9">
        <f>IF(COUNT(T86:AE86)=0,"",SUM(T86:AE86))</f>
        <v/>
      </c>
      <c r="AG86" s="17" t="n"/>
      <c r="AH86" s="17" t="n"/>
      <c r="AI86" s="17" t="n"/>
      <c r="AJ86" s="17" t="n"/>
      <c r="AK86" s="17" t="n"/>
      <c r="AL86" s="22">
        <f>IF($A86="","",IF(OR(AM86="移管",AN86="移管"),"移管",IF(OR(AM86="一部",AN86="一部"),"一部",IF(OR(AM86="判定保留",AN86="判定保留"),"判定保留",IF(OR(AM86="留保",AN86="留保"),"留保","対象外")))))</f>
        <v/>
      </c>
      <c r="AM86" s="22">
        <f>IF($A86="","",IF(AU86=0,"対象外",IF(AV86=AU86,"移管",IF(AV86+AW86&gt;0,"一部",IF(AX86&gt;0,"判定保留",IF(AY86&gt;0,"留保","対象外"))))))</f>
        <v/>
      </c>
      <c r="AN86" s="22">
        <f>IF($A86="","",IF((AO86+AS86+AT86)=0,"対象外",IF(AP86=(AO86+AS86+AT86),"移管",IF(AP86&gt;0,"一部",IF(AR86+AT86&gt;0,"判定保留",IF(AQ86+AS86&gt;0,"留保","対象外"))))))</f>
        <v/>
      </c>
      <c r="AO86" s="22">
        <f>IF($A86="","",SUMPRODUCT((COUNTIFS('紐付け'!$A$4:$A$200,$A86,'紐付け'!$C$4:$C$200,'業務'!$C$4:$C$200)&gt;0)*('業務'!$A$4:$A$200&lt;&gt;"")))</f>
        <v/>
      </c>
      <c r="AP86" s="22">
        <f>IF($A86="","",SUMPRODUCT((COUNTIFS('紐付け'!$A$4:$A$200,$A86,'紐付け'!$C$4:$C$200,'業務'!$C$4:$C$200)&gt;0)*('業務'!$A$4:$A$200&lt;&gt;"")*('業務'!$P$4:$P$200="移管")))</f>
        <v/>
      </c>
      <c r="AQ86" s="22">
        <f>IF($A86="","",SUMPRODUCT((COUNTIFS('紐付け'!$A$4:$A$200,$A86,'紐付け'!$C$4:$C$200,'業務'!$C$4:$C$200)&gt;0)*('業務'!$A$4:$A$200&lt;&gt;"")*('業務'!$P$4:$P$200="留保")))</f>
        <v/>
      </c>
      <c r="AR86" s="22">
        <f>IF($A86="","",AO86-AP86-AQ86)</f>
        <v/>
      </c>
      <c r="AS86" s="22">
        <f>IF($A86="","",SUMPRODUCT(('紐付け'!$A$4:$A$200=$A86)*('紐付け'!$C$4:$C$200&lt;&gt;"")*(COUNTIF('業務'!$C$4:$C$200,'紐付け'!$C$4:$C$200)=0)*(COUNTIFS('システム'!$A$4:$A$200,'紐付け'!$C$4:$C$200,'システム'!$N$4:$N$200,"留保")&gt;0)))</f>
        <v/>
      </c>
      <c r="AT86" s="22">
        <f>IF($A86="","",SUMPRODUCT(('紐付け'!$A$4:$A$200=$A86)*('紐付け'!$C$4:$C$200&lt;&gt;"")*(COUNTIF('業務'!$C$4:$C$200,'紐付け'!$C$4:$C$200)=0))-AS86)</f>
        <v/>
      </c>
      <c r="AU86" s="22">
        <f>IF($A86="","",COUNTIF('契約'!$C$4:$C$200,$A86))</f>
        <v/>
      </c>
      <c r="AV86" s="22">
        <f>IF($A86="","",COUNTIFS('契約'!$C$4:$C$200,$A86,'契約'!$O$4:$O$200,"移管"))</f>
        <v/>
      </c>
      <c r="AW86" s="22">
        <f>IF($A86="","",COUNTIFS('契約'!$C$4:$C$200,$A86,'契約'!$O$4:$O$200,"一部"))</f>
        <v/>
      </c>
      <c r="AX86" s="22">
        <f>IF($A86="","",COUNTIFS('契約'!$C$4:$C$200,$A86,'契約'!$O$4:$O$200,"判定保留"))</f>
        <v/>
      </c>
      <c r="AY86" s="22">
        <f>IF($A86="","",COUNTIFS('契約'!$C$4:$C$200,$A86,'契約'!$O$4:$O$200,"留保"))</f>
        <v/>
      </c>
    </row>
    <row r="87">
      <c r="A87" s="17" t="n"/>
      <c r="B87" s="17" t="n"/>
      <c r="C87" s="17" t="n"/>
      <c r="D87" s="17" t="n"/>
      <c r="E87" s="17" t="n"/>
      <c r="F87" s="17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9">
        <f>IF(COUNT(G87:R87)=0,"",SUM(G87:R87))</f>
        <v/>
      </c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9">
        <f>IF(COUNT(T87:AE87)=0,"",SUM(T87:AE87))</f>
        <v/>
      </c>
      <c r="AG87" s="17" t="n"/>
      <c r="AH87" s="17" t="n"/>
      <c r="AI87" s="17" t="n"/>
      <c r="AJ87" s="17" t="n"/>
      <c r="AK87" s="17" t="n"/>
      <c r="AL87" s="22">
        <f>IF($A87="","",IF(OR(AM87="移管",AN87="移管"),"移管",IF(OR(AM87="一部",AN87="一部"),"一部",IF(OR(AM87="判定保留",AN87="判定保留"),"判定保留",IF(OR(AM87="留保",AN87="留保"),"留保","対象外")))))</f>
        <v/>
      </c>
      <c r="AM87" s="22">
        <f>IF($A87="","",IF(AU87=0,"対象外",IF(AV87=AU87,"移管",IF(AV87+AW87&gt;0,"一部",IF(AX87&gt;0,"判定保留",IF(AY87&gt;0,"留保","対象外"))))))</f>
        <v/>
      </c>
      <c r="AN87" s="22">
        <f>IF($A87="","",IF((AO87+AS87+AT87)=0,"対象外",IF(AP87=(AO87+AS87+AT87),"移管",IF(AP87&gt;0,"一部",IF(AR87+AT87&gt;0,"判定保留",IF(AQ87+AS87&gt;0,"留保","対象外"))))))</f>
        <v/>
      </c>
      <c r="AO87" s="22">
        <f>IF($A87="","",SUMPRODUCT((COUNTIFS('紐付け'!$A$4:$A$200,$A87,'紐付け'!$C$4:$C$200,'業務'!$C$4:$C$200)&gt;0)*('業務'!$A$4:$A$200&lt;&gt;"")))</f>
        <v/>
      </c>
      <c r="AP87" s="22">
        <f>IF($A87="","",SUMPRODUCT((COUNTIFS('紐付け'!$A$4:$A$200,$A87,'紐付け'!$C$4:$C$200,'業務'!$C$4:$C$200)&gt;0)*('業務'!$A$4:$A$200&lt;&gt;"")*('業務'!$P$4:$P$200="移管")))</f>
        <v/>
      </c>
      <c r="AQ87" s="22">
        <f>IF($A87="","",SUMPRODUCT((COUNTIFS('紐付け'!$A$4:$A$200,$A87,'紐付け'!$C$4:$C$200,'業務'!$C$4:$C$200)&gt;0)*('業務'!$A$4:$A$200&lt;&gt;"")*('業務'!$P$4:$P$200="留保")))</f>
        <v/>
      </c>
      <c r="AR87" s="22">
        <f>IF($A87="","",AO87-AP87-AQ87)</f>
        <v/>
      </c>
      <c r="AS87" s="22">
        <f>IF($A87="","",SUMPRODUCT(('紐付け'!$A$4:$A$200=$A87)*('紐付け'!$C$4:$C$200&lt;&gt;"")*(COUNTIF('業務'!$C$4:$C$200,'紐付け'!$C$4:$C$200)=0)*(COUNTIFS('システム'!$A$4:$A$200,'紐付け'!$C$4:$C$200,'システム'!$N$4:$N$200,"留保")&gt;0)))</f>
        <v/>
      </c>
      <c r="AT87" s="22">
        <f>IF($A87="","",SUMPRODUCT(('紐付け'!$A$4:$A$200=$A87)*('紐付け'!$C$4:$C$200&lt;&gt;"")*(COUNTIF('業務'!$C$4:$C$200,'紐付け'!$C$4:$C$200)=0))-AS87)</f>
        <v/>
      </c>
      <c r="AU87" s="22">
        <f>IF($A87="","",COUNTIF('契約'!$C$4:$C$200,$A87))</f>
        <v/>
      </c>
      <c r="AV87" s="22">
        <f>IF($A87="","",COUNTIFS('契約'!$C$4:$C$200,$A87,'契約'!$O$4:$O$200,"移管"))</f>
        <v/>
      </c>
      <c r="AW87" s="22">
        <f>IF($A87="","",COUNTIFS('契約'!$C$4:$C$200,$A87,'契約'!$O$4:$O$200,"一部"))</f>
        <v/>
      </c>
      <c r="AX87" s="22">
        <f>IF($A87="","",COUNTIFS('契約'!$C$4:$C$200,$A87,'契約'!$O$4:$O$200,"判定保留"))</f>
        <v/>
      </c>
      <c r="AY87" s="22">
        <f>IF($A87="","",COUNTIFS('契約'!$C$4:$C$200,$A87,'契約'!$O$4:$O$200,"留保"))</f>
        <v/>
      </c>
    </row>
    <row r="88">
      <c r="A88" s="17" t="n"/>
      <c r="B88" s="17" t="n"/>
      <c r="C88" s="17" t="n"/>
      <c r="D88" s="17" t="n"/>
      <c r="E88" s="17" t="n"/>
      <c r="F88" s="17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9">
        <f>IF(COUNT(G88:R88)=0,"",SUM(G88:R88))</f>
        <v/>
      </c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9">
        <f>IF(COUNT(T88:AE88)=0,"",SUM(T88:AE88))</f>
        <v/>
      </c>
      <c r="AG88" s="17" t="n"/>
      <c r="AH88" s="17" t="n"/>
      <c r="AI88" s="17" t="n"/>
      <c r="AJ88" s="17" t="n"/>
      <c r="AK88" s="17" t="n"/>
      <c r="AL88" s="22">
        <f>IF($A88="","",IF(OR(AM88="移管",AN88="移管"),"移管",IF(OR(AM88="一部",AN88="一部"),"一部",IF(OR(AM88="判定保留",AN88="判定保留"),"判定保留",IF(OR(AM88="留保",AN88="留保"),"留保","対象外")))))</f>
        <v/>
      </c>
      <c r="AM88" s="22">
        <f>IF($A88="","",IF(AU88=0,"対象外",IF(AV88=AU88,"移管",IF(AV88+AW88&gt;0,"一部",IF(AX88&gt;0,"判定保留",IF(AY88&gt;0,"留保","対象外"))))))</f>
        <v/>
      </c>
      <c r="AN88" s="22">
        <f>IF($A88="","",IF((AO88+AS88+AT88)=0,"対象外",IF(AP88=(AO88+AS88+AT88),"移管",IF(AP88&gt;0,"一部",IF(AR88+AT88&gt;0,"判定保留",IF(AQ88+AS88&gt;0,"留保","対象外"))))))</f>
        <v/>
      </c>
      <c r="AO88" s="22">
        <f>IF($A88="","",SUMPRODUCT((COUNTIFS('紐付け'!$A$4:$A$200,$A88,'紐付け'!$C$4:$C$200,'業務'!$C$4:$C$200)&gt;0)*('業務'!$A$4:$A$200&lt;&gt;"")))</f>
        <v/>
      </c>
      <c r="AP88" s="22">
        <f>IF($A88="","",SUMPRODUCT((COUNTIFS('紐付け'!$A$4:$A$200,$A88,'紐付け'!$C$4:$C$200,'業務'!$C$4:$C$200)&gt;0)*('業務'!$A$4:$A$200&lt;&gt;"")*('業務'!$P$4:$P$200="移管")))</f>
        <v/>
      </c>
      <c r="AQ88" s="22">
        <f>IF($A88="","",SUMPRODUCT((COUNTIFS('紐付け'!$A$4:$A$200,$A88,'紐付け'!$C$4:$C$200,'業務'!$C$4:$C$200)&gt;0)*('業務'!$A$4:$A$200&lt;&gt;"")*('業務'!$P$4:$P$200="留保")))</f>
        <v/>
      </c>
      <c r="AR88" s="22">
        <f>IF($A88="","",AO88-AP88-AQ88)</f>
        <v/>
      </c>
      <c r="AS88" s="22">
        <f>IF($A88="","",SUMPRODUCT(('紐付け'!$A$4:$A$200=$A88)*('紐付け'!$C$4:$C$200&lt;&gt;"")*(COUNTIF('業務'!$C$4:$C$200,'紐付け'!$C$4:$C$200)=0)*(COUNTIFS('システム'!$A$4:$A$200,'紐付け'!$C$4:$C$200,'システム'!$N$4:$N$200,"留保")&gt;0)))</f>
        <v/>
      </c>
      <c r="AT88" s="22">
        <f>IF($A88="","",SUMPRODUCT(('紐付け'!$A$4:$A$200=$A88)*('紐付け'!$C$4:$C$200&lt;&gt;"")*(COUNTIF('業務'!$C$4:$C$200,'紐付け'!$C$4:$C$200)=0))-AS88)</f>
        <v/>
      </c>
      <c r="AU88" s="22">
        <f>IF($A88="","",COUNTIF('契約'!$C$4:$C$200,$A88))</f>
        <v/>
      </c>
      <c r="AV88" s="22">
        <f>IF($A88="","",COUNTIFS('契約'!$C$4:$C$200,$A88,'契約'!$O$4:$O$200,"移管"))</f>
        <v/>
      </c>
      <c r="AW88" s="22">
        <f>IF($A88="","",COUNTIFS('契約'!$C$4:$C$200,$A88,'契約'!$O$4:$O$200,"一部"))</f>
        <v/>
      </c>
      <c r="AX88" s="22">
        <f>IF($A88="","",COUNTIFS('契約'!$C$4:$C$200,$A88,'契約'!$O$4:$O$200,"判定保留"))</f>
        <v/>
      </c>
      <c r="AY88" s="22">
        <f>IF($A88="","",COUNTIFS('契約'!$C$4:$C$200,$A88,'契約'!$O$4:$O$200,"留保"))</f>
        <v/>
      </c>
    </row>
    <row r="89">
      <c r="A89" s="17" t="n"/>
      <c r="B89" s="17" t="n"/>
      <c r="C89" s="17" t="n"/>
      <c r="D89" s="17" t="n"/>
      <c r="E89" s="17" t="n"/>
      <c r="F89" s="17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9">
        <f>IF(COUNT(G89:R89)=0,"",SUM(G89:R89))</f>
        <v/>
      </c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9">
        <f>IF(COUNT(T89:AE89)=0,"",SUM(T89:AE89))</f>
        <v/>
      </c>
      <c r="AG89" s="17" t="n"/>
      <c r="AH89" s="17" t="n"/>
      <c r="AI89" s="17" t="n"/>
      <c r="AJ89" s="17" t="n"/>
      <c r="AK89" s="17" t="n"/>
      <c r="AL89" s="22">
        <f>IF($A89="","",IF(OR(AM89="移管",AN89="移管"),"移管",IF(OR(AM89="一部",AN89="一部"),"一部",IF(OR(AM89="判定保留",AN89="判定保留"),"判定保留",IF(OR(AM89="留保",AN89="留保"),"留保","対象外")))))</f>
        <v/>
      </c>
      <c r="AM89" s="22">
        <f>IF($A89="","",IF(AU89=0,"対象外",IF(AV89=AU89,"移管",IF(AV89+AW89&gt;0,"一部",IF(AX89&gt;0,"判定保留",IF(AY89&gt;0,"留保","対象外"))))))</f>
        <v/>
      </c>
      <c r="AN89" s="22">
        <f>IF($A89="","",IF((AO89+AS89+AT89)=0,"対象外",IF(AP89=(AO89+AS89+AT89),"移管",IF(AP89&gt;0,"一部",IF(AR89+AT89&gt;0,"判定保留",IF(AQ89+AS89&gt;0,"留保","対象外"))))))</f>
        <v/>
      </c>
      <c r="AO89" s="22">
        <f>IF($A89="","",SUMPRODUCT((COUNTIFS('紐付け'!$A$4:$A$200,$A89,'紐付け'!$C$4:$C$200,'業務'!$C$4:$C$200)&gt;0)*('業務'!$A$4:$A$200&lt;&gt;"")))</f>
        <v/>
      </c>
      <c r="AP89" s="22">
        <f>IF($A89="","",SUMPRODUCT((COUNTIFS('紐付け'!$A$4:$A$200,$A89,'紐付け'!$C$4:$C$200,'業務'!$C$4:$C$200)&gt;0)*('業務'!$A$4:$A$200&lt;&gt;"")*('業務'!$P$4:$P$200="移管")))</f>
        <v/>
      </c>
      <c r="AQ89" s="22">
        <f>IF($A89="","",SUMPRODUCT((COUNTIFS('紐付け'!$A$4:$A$200,$A89,'紐付け'!$C$4:$C$200,'業務'!$C$4:$C$200)&gt;0)*('業務'!$A$4:$A$200&lt;&gt;"")*('業務'!$P$4:$P$200="留保")))</f>
        <v/>
      </c>
      <c r="AR89" s="22">
        <f>IF($A89="","",AO89-AP89-AQ89)</f>
        <v/>
      </c>
      <c r="AS89" s="22">
        <f>IF($A89="","",SUMPRODUCT(('紐付け'!$A$4:$A$200=$A89)*('紐付け'!$C$4:$C$200&lt;&gt;"")*(COUNTIF('業務'!$C$4:$C$200,'紐付け'!$C$4:$C$200)=0)*(COUNTIFS('システム'!$A$4:$A$200,'紐付け'!$C$4:$C$200,'システム'!$N$4:$N$200,"留保")&gt;0)))</f>
        <v/>
      </c>
      <c r="AT89" s="22">
        <f>IF($A89="","",SUMPRODUCT(('紐付け'!$A$4:$A$200=$A89)*('紐付け'!$C$4:$C$200&lt;&gt;"")*(COUNTIF('業務'!$C$4:$C$200,'紐付け'!$C$4:$C$200)=0))-AS89)</f>
        <v/>
      </c>
      <c r="AU89" s="22">
        <f>IF($A89="","",COUNTIF('契約'!$C$4:$C$200,$A89))</f>
        <v/>
      </c>
      <c r="AV89" s="22">
        <f>IF($A89="","",COUNTIFS('契約'!$C$4:$C$200,$A89,'契約'!$O$4:$O$200,"移管"))</f>
        <v/>
      </c>
      <c r="AW89" s="22">
        <f>IF($A89="","",COUNTIFS('契約'!$C$4:$C$200,$A89,'契約'!$O$4:$O$200,"一部"))</f>
        <v/>
      </c>
      <c r="AX89" s="22">
        <f>IF($A89="","",COUNTIFS('契約'!$C$4:$C$200,$A89,'契約'!$O$4:$O$200,"判定保留"))</f>
        <v/>
      </c>
      <c r="AY89" s="22">
        <f>IF($A89="","",COUNTIFS('契約'!$C$4:$C$200,$A89,'契約'!$O$4:$O$200,"留保"))</f>
        <v/>
      </c>
    </row>
    <row r="90">
      <c r="A90" s="17" t="n"/>
      <c r="B90" s="17" t="n"/>
      <c r="C90" s="17" t="n"/>
      <c r="D90" s="17" t="n"/>
      <c r="E90" s="17" t="n"/>
      <c r="F90" s="17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9">
        <f>IF(COUNT(G90:R90)=0,"",SUM(G90:R90))</f>
        <v/>
      </c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9">
        <f>IF(COUNT(T90:AE90)=0,"",SUM(T90:AE90))</f>
        <v/>
      </c>
      <c r="AG90" s="17" t="n"/>
      <c r="AH90" s="17" t="n"/>
      <c r="AI90" s="17" t="n"/>
      <c r="AJ90" s="17" t="n"/>
      <c r="AK90" s="17" t="n"/>
      <c r="AL90" s="22">
        <f>IF($A90="","",IF(OR(AM90="移管",AN90="移管"),"移管",IF(OR(AM90="一部",AN90="一部"),"一部",IF(OR(AM90="判定保留",AN90="判定保留"),"判定保留",IF(OR(AM90="留保",AN90="留保"),"留保","対象外")))))</f>
        <v/>
      </c>
      <c r="AM90" s="22">
        <f>IF($A90="","",IF(AU90=0,"対象外",IF(AV90=AU90,"移管",IF(AV90+AW90&gt;0,"一部",IF(AX90&gt;0,"判定保留",IF(AY90&gt;0,"留保","対象外"))))))</f>
        <v/>
      </c>
      <c r="AN90" s="22">
        <f>IF($A90="","",IF((AO90+AS90+AT90)=0,"対象外",IF(AP90=(AO90+AS90+AT90),"移管",IF(AP90&gt;0,"一部",IF(AR90+AT90&gt;0,"判定保留",IF(AQ90+AS90&gt;0,"留保","対象外"))))))</f>
        <v/>
      </c>
      <c r="AO90" s="22">
        <f>IF($A90="","",SUMPRODUCT((COUNTIFS('紐付け'!$A$4:$A$200,$A90,'紐付け'!$C$4:$C$200,'業務'!$C$4:$C$200)&gt;0)*('業務'!$A$4:$A$200&lt;&gt;"")))</f>
        <v/>
      </c>
      <c r="AP90" s="22">
        <f>IF($A90="","",SUMPRODUCT((COUNTIFS('紐付け'!$A$4:$A$200,$A90,'紐付け'!$C$4:$C$200,'業務'!$C$4:$C$200)&gt;0)*('業務'!$A$4:$A$200&lt;&gt;"")*('業務'!$P$4:$P$200="移管")))</f>
        <v/>
      </c>
      <c r="AQ90" s="22">
        <f>IF($A90="","",SUMPRODUCT((COUNTIFS('紐付け'!$A$4:$A$200,$A90,'紐付け'!$C$4:$C$200,'業務'!$C$4:$C$200)&gt;0)*('業務'!$A$4:$A$200&lt;&gt;"")*('業務'!$P$4:$P$200="留保")))</f>
        <v/>
      </c>
      <c r="AR90" s="22">
        <f>IF($A90="","",AO90-AP90-AQ90)</f>
        <v/>
      </c>
      <c r="AS90" s="22">
        <f>IF($A90="","",SUMPRODUCT(('紐付け'!$A$4:$A$200=$A90)*('紐付け'!$C$4:$C$200&lt;&gt;"")*(COUNTIF('業務'!$C$4:$C$200,'紐付け'!$C$4:$C$200)=0)*(COUNTIFS('システム'!$A$4:$A$200,'紐付け'!$C$4:$C$200,'システム'!$N$4:$N$200,"留保")&gt;0)))</f>
        <v/>
      </c>
      <c r="AT90" s="22">
        <f>IF($A90="","",SUMPRODUCT(('紐付け'!$A$4:$A$200=$A90)*('紐付け'!$C$4:$C$200&lt;&gt;"")*(COUNTIF('業務'!$C$4:$C$200,'紐付け'!$C$4:$C$200)=0))-AS90)</f>
        <v/>
      </c>
      <c r="AU90" s="22">
        <f>IF($A90="","",COUNTIF('契約'!$C$4:$C$200,$A90))</f>
        <v/>
      </c>
      <c r="AV90" s="22">
        <f>IF($A90="","",COUNTIFS('契約'!$C$4:$C$200,$A90,'契約'!$O$4:$O$200,"移管"))</f>
        <v/>
      </c>
      <c r="AW90" s="22">
        <f>IF($A90="","",COUNTIFS('契約'!$C$4:$C$200,$A90,'契約'!$O$4:$O$200,"一部"))</f>
        <v/>
      </c>
      <c r="AX90" s="22">
        <f>IF($A90="","",COUNTIFS('契約'!$C$4:$C$200,$A90,'契約'!$O$4:$O$200,"判定保留"))</f>
        <v/>
      </c>
      <c r="AY90" s="22">
        <f>IF($A90="","",COUNTIFS('契約'!$C$4:$C$200,$A90,'契約'!$O$4:$O$200,"留保"))</f>
        <v/>
      </c>
    </row>
    <row r="91">
      <c r="A91" s="17" t="n"/>
      <c r="B91" s="17" t="n"/>
      <c r="C91" s="17" t="n"/>
      <c r="D91" s="17" t="n"/>
      <c r="E91" s="17" t="n"/>
      <c r="F91" s="17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9">
        <f>IF(COUNT(G91:R91)=0,"",SUM(G91:R91))</f>
        <v/>
      </c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9">
        <f>IF(COUNT(T91:AE91)=0,"",SUM(T91:AE91))</f>
        <v/>
      </c>
      <c r="AG91" s="17" t="n"/>
      <c r="AH91" s="17" t="n"/>
      <c r="AI91" s="17" t="n"/>
      <c r="AJ91" s="17" t="n"/>
      <c r="AK91" s="17" t="n"/>
      <c r="AL91" s="22">
        <f>IF($A91="","",IF(OR(AM91="移管",AN91="移管"),"移管",IF(OR(AM91="一部",AN91="一部"),"一部",IF(OR(AM91="判定保留",AN91="判定保留"),"判定保留",IF(OR(AM91="留保",AN91="留保"),"留保","対象外")))))</f>
        <v/>
      </c>
      <c r="AM91" s="22">
        <f>IF($A91="","",IF(AU91=0,"対象外",IF(AV91=AU91,"移管",IF(AV91+AW91&gt;0,"一部",IF(AX91&gt;0,"判定保留",IF(AY91&gt;0,"留保","対象外"))))))</f>
        <v/>
      </c>
      <c r="AN91" s="22">
        <f>IF($A91="","",IF((AO91+AS91+AT91)=0,"対象外",IF(AP91=(AO91+AS91+AT91),"移管",IF(AP91&gt;0,"一部",IF(AR91+AT91&gt;0,"判定保留",IF(AQ91+AS91&gt;0,"留保","対象外"))))))</f>
        <v/>
      </c>
      <c r="AO91" s="22">
        <f>IF($A91="","",SUMPRODUCT((COUNTIFS('紐付け'!$A$4:$A$200,$A91,'紐付け'!$C$4:$C$200,'業務'!$C$4:$C$200)&gt;0)*('業務'!$A$4:$A$200&lt;&gt;"")))</f>
        <v/>
      </c>
      <c r="AP91" s="22">
        <f>IF($A91="","",SUMPRODUCT((COUNTIFS('紐付け'!$A$4:$A$200,$A91,'紐付け'!$C$4:$C$200,'業務'!$C$4:$C$200)&gt;0)*('業務'!$A$4:$A$200&lt;&gt;"")*('業務'!$P$4:$P$200="移管")))</f>
        <v/>
      </c>
      <c r="AQ91" s="22">
        <f>IF($A91="","",SUMPRODUCT((COUNTIFS('紐付け'!$A$4:$A$200,$A91,'紐付け'!$C$4:$C$200,'業務'!$C$4:$C$200)&gt;0)*('業務'!$A$4:$A$200&lt;&gt;"")*('業務'!$P$4:$P$200="留保")))</f>
        <v/>
      </c>
      <c r="AR91" s="22">
        <f>IF($A91="","",AO91-AP91-AQ91)</f>
        <v/>
      </c>
      <c r="AS91" s="22">
        <f>IF($A91="","",SUMPRODUCT(('紐付け'!$A$4:$A$200=$A91)*('紐付け'!$C$4:$C$200&lt;&gt;"")*(COUNTIF('業務'!$C$4:$C$200,'紐付け'!$C$4:$C$200)=0)*(COUNTIFS('システム'!$A$4:$A$200,'紐付け'!$C$4:$C$200,'システム'!$N$4:$N$200,"留保")&gt;0)))</f>
        <v/>
      </c>
      <c r="AT91" s="22">
        <f>IF($A91="","",SUMPRODUCT(('紐付け'!$A$4:$A$200=$A91)*('紐付け'!$C$4:$C$200&lt;&gt;"")*(COUNTIF('業務'!$C$4:$C$200,'紐付け'!$C$4:$C$200)=0))-AS91)</f>
        <v/>
      </c>
      <c r="AU91" s="22">
        <f>IF($A91="","",COUNTIF('契約'!$C$4:$C$200,$A91))</f>
        <v/>
      </c>
      <c r="AV91" s="22">
        <f>IF($A91="","",COUNTIFS('契約'!$C$4:$C$200,$A91,'契約'!$O$4:$O$200,"移管"))</f>
        <v/>
      </c>
      <c r="AW91" s="22">
        <f>IF($A91="","",COUNTIFS('契約'!$C$4:$C$200,$A91,'契約'!$O$4:$O$200,"一部"))</f>
        <v/>
      </c>
      <c r="AX91" s="22">
        <f>IF($A91="","",COUNTIFS('契約'!$C$4:$C$200,$A91,'契約'!$O$4:$O$200,"判定保留"))</f>
        <v/>
      </c>
      <c r="AY91" s="22">
        <f>IF($A91="","",COUNTIFS('契約'!$C$4:$C$200,$A91,'契約'!$O$4:$O$200,"留保"))</f>
        <v/>
      </c>
    </row>
    <row r="92">
      <c r="A92" s="17" t="n"/>
      <c r="B92" s="17" t="n"/>
      <c r="C92" s="17" t="n"/>
      <c r="D92" s="17" t="n"/>
      <c r="E92" s="17" t="n"/>
      <c r="F92" s="17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9">
        <f>IF(COUNT(G92:R92)=0,"",SUM(G92:R92))</f>
        <v/>
      </c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9">
        <f>IF(COUNT(T92:AE92)=0,"",SUM(T92:AE92))</f>
        <v/>
      </c>
      <c r="AG92" s="17" t="n"/>
      <c r="AH92" s="17" t="n"/>
      <c r="AI92" s="17" t="n"/>
      <c r="AJ92" s="17" t="n"/>
      <c r="AK92" s="17" t="n"/>
      <c r="AL92" s="22">
        <f>IF($A92="","",IF(OR(AM92="移管",AN92="移管"),"移管",IF(OR(AM92="一部",AN92="一部"),"一部",IF(OR(AM92="判定保留",AN92="判定保留"),"判定保留",IF(OR(AM92="留保",AN92="留保"),"留保","対象外")))))</f>
        <v/>
      </c>
      <c r="AM92" s="22">
        <f>IF($A92="","",IF(AU92=0,"対象外",IF(AV92=AU92,"移管",IF(AV92+AW92&gt;0,"一部",IF(AX92&gt;0,"判定保留",IF(AY92&gt;0,"留保","対象外"))))))</f>
        <v/>
      </c>
      <c r="AN92" s="22">
        <f>IF($A92="","",IF((AO92+AS92+AT92)=0,"対象外",IF(AP92=(AO92+AS92+AT92),"移管",IF(AP92&gt;0,"一部",IF(AR92+AT92&gt;0,"判定保留",IF(AQ92+AS92&gt;0,"留保","対象外"))))))</f>
        <v/>
      </c>
      <c r="AO92" s="22">
        <f>IF($A92="","",SUMPRODUCT((COUNTIFS('紐付け'!$A$4:$A$200,$A92,'紐付け'!$C$4:$C$200,'業務'!$C$4:$C$200)&gt;0)*('業務'!$A$4:$A$200&lt;&gt;"")))</f>
        <v/>
      </c>
      <c r="AP92" s="22">
        <f>IF($A92="","",SUMPRODUCT((COUNTIFS('紐付け'!$A$4:$A$200,$A92,'紐付け'!$C$4:$C$200,'業務'!$C$4:$C$200)&gt;0)*('業務'!$A$4:$A$200&lt;&gt;"")*('業務'!$P$4:$P$200="移管")))</f>
        <v/>
      </c>
      <c r="AQ92" s="22">
        <f>IF($A92="","",SUMPRODUCT((COUNTIFS('紐付け'!$A$4:$A$200,$A92,'紐付け'!$C$4:$C$200,'業務'!$C$4:$C$200)&gt;0)*('業務'!$A$4:$A$200&lt;&gt;"")*('業務'!$P$4:$P$200="留保")))</f>
        <v/>
      </c>
      <c r="AR92" s="22">
        <f>IF($A92="","",AO92-AP92-AQ92)</f>
        <v/>
      </c>
      <c r="AS92" s="22">
        <f>IF($A92="","",SUMPRODUCT(('紐付け'!$A$4:$A$200=$A92)*('紐付け'!$C$4:$C$200&lt;&gt;"")*(COUNTIF('業務'!$C$4:$C$200,'紐付け'!$C$4:$C$200)=0)*(COUNTIFS('システム'!$A$4:$A$200,'紐付け'!$C$4:$C$200,'システム'!$N$4:$N$200,"留保")&gt;0)))</f>
        <v/>
      </c>
      <c r="AT92" s="22">
        <f>IF($A92="","",SUMPRODUCT(('紐付け'!$A$4:$A$200=$A92)*('紐付け'!$C$4:$C$200&lt;&gt;"")*(COUNTIF('業務'!$C$4:$C$200,'紐付け'!$C$4:$C$200)=0))-AS92)</f>
        <v/>
      </c>
      <c r="AU92" s="22">
        <f>IF($A92="","",COUNTIF('契約'!$C$4:$C$200,$A92))</f>
        <v/>
      </c>
      <c r="AV92" s="22">
        <f>IF($A92="","",COUNTIFS('契約'!$C$4:$C$200,$A92,'契約'!$O$4:$O$200,"移管"))</f>
        <v/>
      </c>
      <c r="AW92" s="22">
        <f>IF($A92="","",COUNTIFS('契約'!$C$4:$C$200,$A92,'契約'!$O$4:$O$200,"一部"))</f>
        <v/>
      </c>
      <c r="AX92" s="22">
        <f>IF($A92="","",COUNTIFS('契約'!$C$4:$C$200,$A92,'契約'!$O$4:$O$200,"判定保留"))</f>
        <v/>
      </c>
      <c r="AY92" s="22">
        <f>IF($A92="","",COUNTIFS('契約'!$C$4:$C$200,$A92,'契約'!$O$4:$O$200,"留保"))</f>
        <v/>
      </c>
    </row>
    <row r="93">
      <c r="A93" s="17" t="n"/>
      <c r="B93" s="17" t="n"/>
      <c r="C93" s="17" t="n"/>
      <c r="D93" s="17" t="n"/>
      <c r="E93" s="17" t="n"/>
      <c r="F93" s="17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9">
        <f>IF(COUNT(G93:R93)=0,"",SUM(G93:R93))</f>
        <v/>
      </c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9">
        <f>IF(COUNT(T93:AE93)=0,"",SUM(T93:AE93))</f>
        <v/>
      </c>
      <c r="AG93" s="17" t="n"/>
      <c r="AH93" s="17" t="n"/>
      <c r="AI93" s="17" t="n"/>
      <c r="AJ93" s="17" t="n"/>
      <c r="AK93" s="17" t="n"/>
      <c r="AL93" s="22">
        <f>IF($A93="","",IF(OR(AM93="移管",AN93="移管"),"移管",IF(OR(AM93="一部",AN93="一部"),"一部",IF(OR(AM93="判定保留",AN93="判定保留"),"判定保留",IF(OR(AM93="留保",AN93="留保"),"留保","対象外")))))</f>
        <v/>
      </c>
      <c r="AM93" s="22">
        <f>IF($A93="","",IF(AU93=0,"対象外",IF(AV93=AU93,"移管",IF(AV93+AW93&gt;0,"一部",IF(AX93&gt;0,"判定保留",IF(AY93&gt;0,"留保","対象外"))))))</f>
        <v/>
      </c>
      <c r="AN93" s="22">
        <f>IF($A93="","",IF((AO93+AS93+AT93)=0,"対象外",IF(AP93=(AO93+AS93+AT93),"移管",IF(AP93&gt;0,"一部",IF(AR93+AT93&gt;0,"判定保留",IF(AQ93+AS93&gt;0,"留保","対象外"))))))</f>
        <v/>
      </c>
      <c r="AO93" s="22">
        <f>IF($A93="","",SUMPRODUCT((COUNTIFS('紐付け'!$A$4:$A$200,$A93,'紐付け'!$C$4:$C$200,'業務'!$C$4:$C$200)&gt;0)*('業務'!$A$4:$A$200&lt;&gt;"")))</f>
        <v/>
      </c>
      <c r="AP93" s="22">
        <f>IF($A93="","",SUMPRODUCT((COUNTIFS('紐付け'!$A$4:$A$200,$A93,'紐付け'!$C$4:$C$200,'業務'!$C$4:$C$200)&gt;0)*('業務'!$A$4:$A$200&lt;&gt;"")*('業務'!$P$4:$P$200="移管")))</f>
        <v/>
      </c>
      <c r="AQ93" s="22">
        <f>IF($A93="","",SUMPRODUCT((COUNTIFS('紐付け'!$A$4:$A$200,$A93,'紐付け'!$C$4:$C$200,'業務'!$C$4:$C$200)&gt;0)*('業務'!$A$4:$A$200&lt;&gt;"")*('業務'!$P$4:$P$200="留保")))</f>
        <v/>
      </c>
      <c r="AR93" s="22">
        <f>IF($A93="","",AO93-AP93-AQ93)</f>
        <v/>
      </c>
      <c r="AS93" s="22">
        <f>IF($A93="","",SUMPRODUCT(('紐付け'!$A$4:$A$200=$A93)*('紐付け'!$C$4:$C$200&lt;&gt;"")*(COUNTIF('業務'!$C$4:$C$200,'紐付け'!$C$4:$C$200)=0)*(COUNTIFS('システム'!$A$4:$A$200,'紐付け'!$C$4:$C$200,'システム'!$N$4:$N$200,"留保")&gt;0)))</f>
        <v/>
      </c>
      <c r="AT93" s="22">
        <f>IF($A93="","",SUMPRODUCT(('紐付け'!$A$4:$A$200=$A93)*('紐付け'!$C$4:$C$200&lt;&gt;"")*(COUNTIF('業務'!$C$4:$C$200,'紐付け'!$C$4:$C$200)=0))-AS93)</f>
        <v/>
      </c>
      <c r="AU93" s="22">
        <f>IF($A93="","",COUNTIF('契約'!$C$4:$C$200,$A93))</f>
        <v/>
      </c>
      <c r="AV93" s="22">
        <f>IF($A93="","",COUNTIFS('契約'!$C$4:$C$200,$A93,'契約'!$O$4:$O$200,"移管"))</f>
        <v/>
      </c>
      <c r="AW93" s="22">
        <f>IF($A93="","",COUNTIFS('契約'!$C$4:$C$200,$A93,'契約'!$O$4:$O$200,"一部"))</f>
        <v/>
      </c>
      <c r="AX93" s="22">
        <f>IF($A93="","",COUNTIFS('契約'!$C$4:$C$200,$A93,'契約'!$O$4:$O$200,"判定保留"))</f>
        <v/>
      </c>
      <c r="AY93" s="22">
        <f>IF($A93="","",COUNTIFS('契約'!$C$4:$C$200,$A93,'契約'!$O$4:$O$200,"留保"))</f>
        <v/>
      </c>
    </row>
    <row r="94">
      <c r="A94" s="17" t="n"/>
      <c r="B94" s="17" t="n"/>
      <c r="C94" s="17" t="n"/>
      <c r="D94" s="17" t="n"/>
      <c r="E94" s="17" t="n"/>
      <c r="F94" s="17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9">
        <f>IF(COUNT(G94:R94)=0,"",SUM(G94:R94))</f>
        <v/>
      </c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9">
        <f>IF(COUNT(T94:AE94)=0,"",SUM(T94:AE94))</f>
        <v/>
      </c>
      <c r="AG94" s="17" t="n"/>
      <c r="AH94" s="17" t="n"/>
      <c r="AI94" s="17" t="n"/>
      <c r="AJ94" s="17" t="n"/>
      <c r="AK94" s="17" t="n"/>
      <c r="AL94" s="22">
        <f>IF($A94="","",IF(OR(AM94="移管",AN94="移管"),"移管",IF(OR(AM94="一部",AN94="一部"),"一部",IF(OR(AM94="判定保留",AN94="判定保留"),"判定保留",IF(OR(AM94="留保",AN94="留保"),"留保","対象外")))))</f>
        <v/>
      </c>
      <c r="AM94" s="22">
        <f>IF($A94="","",IF(AU94=0,"対象外",IF(AV94=AU94,"移管",IF(AV94+AW94&gt;0,"一部",IF(AX94&gt;0,"判定保留",IF(AY94&gt;0,"留保","対象外"))))))</f>
        <v/>
      </c>
      <c r="AN94" s="22">
        <f>IF($A94="","",IF((AO94+AS94+AT94)=0,"対象外",IF(AP94=(AO94+AS94+AT94),"移管",IF(AP94&gt;0,"一部",IF(AR94+AT94&gt;0,"判定保留",IF(AQ94+AS94&gt;0,"留保","対象外"))))))</f>
        <v/>
      </c>
      <c r="AO94" s="22">
        <f>IF($A94="","",SUMPRODUCT((COUNTIFS('紐付け'!$A$4:$A$200,$A94,'紐付け'!$C$4:$C$200,'業務'!$C$4:$C$200)&gt;0)*('業務'!$A$4:$A$200&lt;&gt;"")))</f>
        <v/>
      </c>
      <c r="AP94" s="22">
        <f>IF($A94="","",SUMPRODUCT((COUNTIFS('紐付け'!$A$4:$A$200,$A94,'紐付け'!$C$4:$C$200,'業務'!$C$4:$C$200)&gt;0)*('業務'!$A$4:$A$200&lt;&gt;"")*('業務'!$P$4:$P$200="移管")))</f>
        <v/>
      </c>
      <c r="AQ94" s="22">
        <f>IF($A94="","",SUMPRODUCT((COUNTIFS('紐付け'!$A$4:$A$200,$A94,'紐付け'!$C$4:$C$200,'業務'!$C$4:$C$200)&gt;0)*('業務'!$A$4:$A$200&lt;&gt;"")*('業務'!$P$4:$P$200="留保")))</f>
        <v/>
      </c>
      <c r="AR94" s="22">
        <f>IF($A94="","",AO94-AP94-AQ94)</f>
        <v/>
      </c>
      <c r="AS94" s="22">
        <f>IF($A94="","",SUMPRODUCT(('紐付け'!$A$4:$A$200=$A94)*('紐付け'!$C$4:$C$200&lt;&gt;"")*(COUNTIF('業務'!$C$4:$C$200,'紐付け'!$C$4:$C$200)=0)*(COUNTIFS('システム'!$A$4:$A$200,'紐付け'!$C$4:$C$200,'システム'!$N$4:$N$200,"留保")&gt;0)))</f>
        <v/>
      </c>
      <c r="AT94" s="22">
        <f>IF($A94="","",SUMPRODUCT(('紐付け'!$A$4:$A$200=$A94)*('紐付け'!$C$4:$C$200&lt;&gt;"")*(COUNTIF('業務'!$C$4:$C$200,'紐付け'!$C$4:$C$200)=0))-AS94)</f>
        <v/>
      </c>
      <c r="AU94" s="22">
        <f>IF($A94="","",COUNTIF('契約'!$C$4:$C$200,$A94))</f>
        <v/>
      </c>
      <c r="AV94" s="22">
        <f>IF($A94="","",COUNTIFS('契約'!$C$4:$C$200,$A94,'契約'!$O$4:$O$200,"移管"))</f>
        <v/>
      </c>
      <c r="AW94" s="22">
        <f>IF($A94="","",COUNTIFS('契約'!$C$4:$C$200,$A94,'契約'!$O$4:$O$200,"一部"))</f>
        <v/>
      </c>
      <c r="AX94" s="22">
        <f>IF($A94="","",COUNTIFS('契約'!$C$4:$C$200,$A94,'契約'!$O$4:$O$200,"判定保留"))</f>
        <v/>
      </c>
      <c r="AY94" s="22">
        <f>IF($A94="","",COUNTIFS('契約'!$C$4:$C$200,$A94,'契約'!$O$4:$O$200,"留保"))</f>
        <v/>
      </c>
    </row>
    <row r="95">
      <c r="A95" s="17" t="n"/>
      <c r="B95" s="17" t="n"/>
      <c r="C95" s="17" t="n"/>
      <c r="D95" s="17" t="n"/>
      <c r="E95" s="17" t="n"/>
      <c r="F95" s="17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9">
        <f>IF(COUNT(G95:R95)=0,"",SUM(G95:R95))</f>
        <v/>
      </c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9">
        <f>IF(COUNT(T95:AE95)=0,"",SUM(T95:AE95))</f>
        <v/>
      </c>
      <c r="AG95" s="17" t="n"/>
      <c r="AH95" s="17" t="n"/>
      <c r="AI95" s="17" t="n"/>
      <c r="AJ95" s="17" t="n"/>
      <c r="AK95" s="17" t="n"/>
      <c r="AL95" s="22">
        <f>IF($A95="","",IF(OR(AM95="移管",AN95="移管"),"移管",IF(OR(AM95="一部",AN95="一部"),"一部",IF(OR(AM95="判定保留",AN95="判定保留"),"判定保留",IF(OR(AM95="留保",AN95="留保"),"留保","対象外")))))</f>
        <v/>
      </c>
      <c r="AM95" s="22">
        <f>IF($A95="","",IF(AU95=0,"対象外",IF(AV95=AU95,"移管",IF(AV95+AW95&gt;0,"一部",IF(AX95&gt;0,"判定保留",IF(AY95&gt;0,"留保","対象外"))))))</f>
        <v/>
      </c>
      <c r="AN95" s="22">
        <f>IF($A95="","",IF((AO95+AS95+AT95)=0,"対象外",IF(AP95=(AO95+AS95+AT95),"移管",IF(AP95&gt;0,"一部",IF(AR95+AT95&gt;0,"判定保留",IF(AQ95+AS95&gt;0,"留保","対象外"))))))</f>
        <v/>
      </c>
      <c r="AO95" s="22">
        <f>IF($A95="","",SUMPRODUCT((COUNTIFS('紐付け'!$A$4:$A$200,$A95,'紐付け'!$C$4:$C$200,'業務'!$C$4:$C$200)&gt;0)*('業務'!$A$4:$A$200&lt;&gt;"")))</f>
        <v/>
      </c>
      <c r="AP95" s="22">
        <f>IF($A95="","",SUMPRODUCT((COUNTIFS('紐付け'!$A$4:$A$200,$A95,'紐付け'!$C$4:$C$200,'業務'!$C$4:$C$200)&gt;0)*('業務'!$A$4:$A$200&lt;&gt;"")*('業務'!$P$4:$P$200="移管")))</f>
        <v/>
      </c>
      <c r="AQ95" s="22">
        <f>IF($A95="","",SUMPRODUCT((COUNTIFS('紐付け'!$A$4:$A$200,$A95,'紐付け'!$C$4:$C$200,'業務'!$C$4:$C$200)&gt;0)*('業務'!$A$4:$A$200&lt;&gt;"")*('業務'!$P$4:$P$200="留保")))</f>
        <v/>
      </c>
      <c r="AR95" s="22">
        <f>IF($A95="","",AO95-AP95-AQ95)</f>
        <v/>
      </c>
      <c r="AS95" s="22">
        <f>IF($A95="","",SUMPRODUCT(('紐付け'!$A$4:$A$200=$A95)*('紐付け'!$C$4:$C$200&lt;&gt;"")*(COUNTIF('業務'!$C$4:$C$200,'紐付け'!$C$4:$C$200)=0)*(COUNTIFS('システム'!$A$4:$A$200,'紐付け'!$C$4:$C$200,'システム'!$N$4:$N$200,"留保")&gt;0)))</f>
        <v/>
      </c>
      <c r="AT95" s="22">
        <f>IF($A95="","",SUMPRODUCT(('紐付け'!$A$4:$A$200=$A95)*('紐付け'!$C$4:$C$200&lt;&gt;"")*(COUNTIF('業務'!$C$4:$C$200,'紐付け'!$C$4:$C$200)=0))-AS95)</f>
        <v/>
      </c>
      <c r="AU95" s="22">
        <f>IF($A95="","",COUNTIF('契約'!$C$4:$C$200,$A95))</f>
        <v/>
      </c>
      <c r="AV95" s="22">
        <f>IF($A95="","",COUNTIFS('契約'!$C$4:$C$200,$A95,'契約'!$O$4:$O$200,"移管"))</f>
        <v/>
      </c>
      <c r="AW95" s="22">
        <f>IF($A95="","",COUNTIFS('契約'!$C$4:$C$200,$A95,'契約'!$O$4:$O$200,"一部"))</f>
        <v/>
      </c>
      <c r="AX95" s="22">
        <f>IF($A95="","",COUNTIFS('契約'!$C$4:$C$200,$A95,'契約'!$O$4:$O$200,"判定保留"))</f>
        <v/>
      </c>
      <c r="AY95" s="22">
        <f>IF($A95="","",COUNTIFS('契約'!$C$4:$C$200,$A95,'契約'!$O$4:$O$200,"留保"))</f>
        <v/>
      </c>
    </row>
    <row r="96">
      <c r="A96" s="17" t="n"/>
      <c r="B96" s="17" t="n"/>
      <c r="C96" s="17" t="n"/>
      <c r="D96" s="17" t="n"/>
      <c r="E96" s="17" t="n"/>
      <c r="F96" s="17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9">
        <f>IF(COUNT(G96:R96)=0,"",SUM(G96:R96))</f>
        <v/>
      </c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9">
        <f>IF(COUNT(T96:AE96)=0,"",SUM(T96:AE96))</f>
        <v/>
      </c>
      <c r="AG96" s="17" t="n"/>
      <c r="AH96" s="17" t="n"/>
      <c r="AI96" s="17" t="n"/>
      <c r="AJ96" s="17" t="n"/>
      <c r="AK96" s="17" t="n"/>
      <c r="AL96" s="22">
        <f>IF($A96="","",IF(OR(AM96="移管",AN96="移管"),"移管",IF(OR(AM96="一部",AN96="一部"),"一部",IF(OR(AM96="判定保留",AN96="判定保留"),"判定保留",IF(OR(AM96="留保",AN96="留保"),"留保","対象外")))))</f>
        <v/>
      </c>
      <c r="AM96" s="22">
        <f>IF($A96="","",IF(AU96=0,"対象外",IF(AV96=AU96,"移管",IF(AV96+AW96&gt;0,"一部",IF(AX96&gt;0,"判定保留",IF(AY96&gt;0,"留保","対象外"))))))</f>
        <v/>
      </c>
      <c r="AN96" s="22">
        <f>IF($A96="","",IF((AO96+AS96+AT96)=0,"対象外",IF(AP96=(AO96+AS96+AT96),"移管",IF(AP96&gt;0,"一部",IF(AR96+AT96&gt;0,"判定保留",IF(AQ96+AS96&gt;0,"留保","対象外"))))))</f>
        <v/>
      </c>
      <c r="AO96" s="22">
        <f>IF($A96="","",SUMPRODUCT((COUNTIFS('紐付け'!$A$4:$A$200,$A96,'紐付け'!$C$4:$C$200,'業務'!$C$4:$C$200)&gt;0)*('業務'!$A$4:$A$200&lt;&gt;"")))</f>
        <v/>
      </c>
      <c r="AP96" s="22">
        <f>IF($A96="","",SUMPRODUCT((COUNTIFS('紐付け'!$A$4:$A$200,$A96,'紐付け'!$C$4:$C$200,'業務'!$C$4:$C$200)&gt;0)*('業務'!$A$4:$A$200&lt;&gt;"")*('業務'!$P$4:$P$200="移管")))</f>
        <v/>
      </c>
      <c r="AQ96" s="22">
        <f>IF($A96="","",SUMPRODUCT((COUNTIFS('紐付け'!$A$4:$A$200,$A96,'紐付け'!$C$4:$C$200,'業務'!$C$4:$C$200)&gt;0)*('業務'!$A$4:$A$200&lt;&gt;"")*('業務'!$P$4:$P$200="留保")))</f>
        <v/>
      </c>
      <c r="AR96" s="22">
        <f>IF($A96="","",AO96-AP96-AQ96)</f>
        <v/>
      </c>
      <c r="AS96" s="22">
        <f>IF($A96="","",SUMPRODUCT(('紐付け'!$A$4:$A$200=$A96)*('紐付け'!$C$4:$C$200&lt;&gt;"")*(COUNTIF('業務'!$C$4:$C$200,'紐付け'!$C$4:$C$200)=0)*(COUNTIFS('システム'!$A$4:$A$200,'紐付け'!$C$4:$C$200,'システム'!$N$4:$N$200,"留保")&gt;0)))</f>
        <v/>
      </c>
      <c r="AT96" s="22">
        <f>IF($A96="","",SUMPRODUCT(('紐付け'!$A$4:$A$200=$A96)*('紐付け'!$C$4:$C$200&lt;&gt;"")*(COUNTIF('業務'!$C$4:$C$200,'紐付け'!$C$4:$C$200)=0))-AS96)</f>
        <v/>
      </c>
      <c r="AU96" s="22">
        <f>IF($A96="","",COUNTIF('契約'!$C$4:$C$200,$A96))</f>
        <v/>
      </c>
      <c r="AV96" s="22">
        <f>IF($A96="","",COUNTIFS('契約'!$C$4:$C$200,$A96,'契約'!$O$4:$O$200,"移管"))</f>
        <v/>
      </c>
      <c r="AW96" s="22">
        <f>IF($A96="","",COUNTIFS('契約'!$C$4:$C$200,$A96,'契約'!$O$4:$O$200,"一部"))</f>
        <v/>
      </c>
      <c r="AX96" s="22">
        <f>IF($A96="","",COUNTIFS('契約'!$C$4:$C$200,$A96,'契約'!$O$4:$O$200,"判定保留"))</f>
        <v/>
      </c>
      <c r="AY96" s="22">
        <f>IF($A96="","",COUNTIFS('契約'!$C$4:$C$200,$A96,'契約'!$O$4:$O$200,"留保"))</f>
        <v/>
      </c>
    </row>
    <row r="97">
      <c r="A97" s="17" t="n"/>
      <c r="B97" s="17" t="n"/>
      <c r="C97" s="17" t="n"/>
      <c r="D97" s="17" t="n"/>
      <c r="E97" s="17" t="n"/>
      <c r="F97" s="17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9">
        <f>IF(COUNT(G97:R97)=0,"",SUM(G97:R97))</f>
        <v/>
      </c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9">
        <f>IF(COUNT(T97:AE97)=0,"",SUM(T97:AE97))</f>
        <v/>
      </c>
      <c r="AG97" s="17" t="n"/>
      <c r="AH97" s="17" t="n"/>
      <c r="AI97" s="17" t="n"/>
      <c r="AJ97" s="17" t="n"/>
      <c r="AK97" s="17" t="n"/>
      <c r="AL97" s="22">
        <f>IF($A97="","",IF(OR(AM97="移管",AN97="移管"),"移管",IF(OR(AM97="一部",AN97="一部"),"一部",IF(OR(AM97="判定保留",AN97="判定保留"),"判定保留",IF(OR(AM97="留保",AN97="留保"),"留保","対象外")))))</f>
        <v/>
      </c>
      <c r="AM97" s="22">
        <f>IF($A97="","",IF(AU97=0,"対象外",IF(AV97=AU97,"移管",IF(AV97+AW97&gt;0,"一部",IF(AX97&gt;0,"判定保留",IF(AY97&gt;0,"留保","対象外"))))))</f>
        <v/>
      </c>
      <c r="AN97" s="22">
        <f>IF($A97="","",IF((AO97+AS97+AT97)=0,"対象外",IF(AP97=(AO97+AS97+AT97),"移管",IF(AP97&gt;0,"一部",IF(AR97+AT97&gt;0,"判定保留",IF(AQ97+AS97&gt;0,"留保","対象外"))))))</f>
        <v/>
      </c>
      <c r="AO97" s="22">
        <f>IF($A97="","",SUMPRODUCT((COUNTIFS('紐付け'!$A$4:$A$200,$A97,'紐付け'!$C$4:$C$200,'業務'!$C$4:$C$200)&gt;0)*('業務'!$A$4:$A$200&lt;&gt;"")))</f>
        <v/>
      </c>
      <c r="AP97" s="22">
        <f>IF($A97="","",SUMPRODUCT((COUNTIFS('紐付け'!$A$4:$A$200,$A97,'紐付け'!$C$4:$C$200,'業務'!$C$4:$C$200)&gt;0)*('業務'!$A$4:$A$200&lt;&gt;"")*('業務'!$P$4:$P$200="移管")))</f>
        <v/>
      </c>
      <c r="AQ97" s="22">
        <f>IF($A97="","",SUMPRODUCT((COUNTIFS('紐付け'!$A$4:$A$200,$A97,'紐付け'!$C$4:$C$200,'業務'!$C$4:$C$200)&gt;0)*('業務'!$A$4:$A$200&lt;&gt;"")*('業務'!$P$4:$P$200="留保")))</f>
        <v/>
      </c>
      <c r="AR97" s="22">
        <f>IF($A97="","",AO97-AP97-AQ97)</f>
        <v/>
      </c>
      <c r="AS97" s="22">
        <f>IF($A97="","",SUMPRODUCT(('紐付け'!$A$4:$A$200=$A97)*('紐付け'!$C$4:$C$200&lt;&gt;"")*(COUNTIF('業務'!$C$4:$C$200,'紐付け'!$C$4:$C$200)=0)*(COUNTIFS('システム'!$A$4:$A$200,'紐付け'!$C$4:$C$200,'システム'!$N$4:$N$200,"留保")&gt;0)))</f>
        <v/>
      </c>
      <c r="AT97" s="22">
        <f>IF($A97="","",SUMPRODUCT(('紐付け'!$A$4:$A$200=$A97)*('紐付け'!$C$4:$C$200&lt;&gt;"")*(COUNTIF('業務'!$C$4:$C$200,'紐付け'!$C$4:$C$200)=0))-AS97)</f>
        <v/>
      </c>
      <c r="AU97" s="22">
        <f>IF($A97="","",COUNTIF('契約'!$C$4:$C$200,$A97))</f>
        <v/>
      </c>
      <c r="AV97" s="22">
        <f>IF($A97="","",COUNTIFS('契約'!$C$4:$C$200,$A97,'契約'!$O$4:$O$200,"移管"))</f>
        <v/>
      </c>
      <c r="AW97" s="22">
        <f>IF($A97="","",COUNTIFS('契約'!$C$4:$C$200,$A97,'契約'!$O$4:$O$200,"一部"))</f>
        <v/>
      </c>
      <c r="AX97" s="22">
        <f>IF($A97="","",COUNTIFS('契約'!$C$4:$C$200,$A97,'契約'!$O$4:$O$200,"判定保留"))</f>
        <v/>
      </c>
      <c r="AY97" s="22">
        <f>IF($A97="","",COUNTIFS('契約'!$C$4:$C$200,$A97,'契約'!$O$4:$O$200,"留保"))</f>
        <v/>
      </c>
    </row>
    <row r="98">
      <c r="A98" s="17" t="n"/>
      <c r="B98" s="17" t="n"/>
      <c r="C98" s="17" t="n"/>
      <c r="D98" s="17" t="n"/>
      <c r="E98" s="17" t="n"/>
      <c r="F98" s="17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9">
        <f>IF(COUNT(G98:R98)=0,"",SUM(G98:R98))</f>
        <v/>
      </c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9">
        <f>IF(COUNT(T98:AE98)=0,"",SUM(T98:AE98))</f>
        <v/>
      </c>
      <c r="AG98" s="17" t="n"/>
      <c r="AH98" s="17" t="n"/>
      <c r="AI98" s="17" t="n"/>
      <c r="AJ98" s="17" t="n"/>
      <c r="AK98" s="17" t="n"/>
      <c r="AL98" s="22">
        <f>IF($A98="","",IF(OR(AM98="移管",AN98="移管"),"移管",IF(OR(AM98="一部",AN98="一部"),"一部",IF(OR(AM98="判定保留",AN98="判定保留"),"判定保留",IF(OR(AM98="留保",AN98="留保"),"留保","対象外")))))</f>
        <v/>
      </c>
      <c r="AM98" s="22">
        <f>IF($A98="","",IF(AU98=0,"対象外",IF(AV98=AU98,"移管",IF(AV98+AW98&gt;0,"一部",IF(AX98&gt;0,"判定保留",IF(AY98&gt;0,"留保","対象外"))))))</f>
        <v/>
      </c>
      <c r="AN98" s="22">
        <f>IF($A98="","",IF((AO98+AS98+AT98)=0,"対象外",IF(AP98=(AO98+AS98+AT98),"移管",IF(AP98&gt;0,"一部",IF(AR98+AT98&gt;0,"判定保留",IF(AQ98+AS98&gt;0,"留保","対象外"))))))</f>
        <v/>
      </c>
      <c r="AO98" s="22">
        <f>IF($A98="","",SUMPRODUCT((COUNTIFS('紐付け'!$A$4:$A$200,$A98,'紐付け'!$C$4:$C$200,'業務'!$C$4:$C$200)&gt;0)*('業務'!$A$4:$A$200&lt;&gt;"")))</f>
        <v/>
      </c>
      <c r="AP98" s="22">
        <f>IF($A98="","",SUMPRODUCT((COUNTIFS('紐付け'!$A$4:$A$200,$A98,'紐付け'!$C$4:$C$200,'業務'!$C$4:$C$200)&gt;0)*('業務'!$A$4:$A$200&lt;&gt;"")*('業務'!$P$4:$P$200="移管")))</f>
        <v/>
      </c>
      <c r="AQ98" s="22">
        <f>IF($A98="","",SUMPRODUCT((COUNTIFS('紐付け'!$A$4:$A$200,$A98,'紐付け'!$C$4:$C$200,'業務'!$C$4:$C$200)&gt;0)*('業務'!$A$4:$A$200&lt;&gt;"")*('業務'!$P$4:$P$200="留保")))</f>
        <v/>
      </c>
      <c r="AR98" s="22">
        <f>IF($A98="","",AO98-AP98-AQ98)</f>
        <v/>
      </c>
      <c r="AS98" s="22">
        <f>IF($A98="","",SUMPRODUCT(('紐付け'!$A$4:$A$200=$A98)*('紐付け'!$C$4:$C$200&lt;&gt;"")*(COUNTIF('業務'!$C$4:$C$200,'紐付け'!$C$4:$C$200)=0)*(COUNTIFS('システム'!$A$4:$A$200,'紐付け'!$C$4:$C$200,'システム'!$N$4:$N$200,"留保")&gt;0)))</f>
        <v/>
      </c>
      <c r="AT98" s="22">
        <f>IF($A98="","",SUMPRODUCT(('紐付け'!$A$4:$A$200=$A98)*('紐付け'!$C$4:$C$200&lt;&gt;"")*(COUNTIF('業務'!$C$4:$C$200,'紐付け'!$C$4:$C$200)=0))-AS98)</f>
        <v/>
      </c>
      <c r="AU98" s="22">
        <f>IF($A98="","",COUNTIF('契約'!$C$4:$C$200,$A98))</f>
        <v/>
      </c>
      <c r="AV98" s="22">
        <f>IF($A98="","",COUNTIFS('契約'!$C$4:$C$200,$A98,'契約'!$O$4:$O$200,"移管"))</f>
        <v/>
      </c>
      <c r="AW98" s="22">
        <f>IF($A98="","",COUNTIFS('契約'!$C$4:$C$200,$A98,'契約'!$O$4:$O$200,"一部"))</f>
        <v/>
      </c>
      <c r="AX98" s="22">
        <f>IF($A98="","",COUNTIFS('契約'!$C$4:$C$200,$A98,'契約'!$O$4:$O$200,"判定保留"))</f>
        <v/>
      </c>
      <c r="AY98" s="22">
        <f>IF($A98="","",COUNTIFS('契約'!$C$4:$C$200,$A98,'契約'!$O$4:$O$200,"留保"))</f>
        <v/>
      </c>
    </row>
    <row r="99">
      <c r="A99" s="17" t="n"/>
      <c r="B99" s="17" t="n"/>
      <c r="C99" s="17" t="n"/>
      <c r="D99" s="17" t="n"/>
      <c r="E99" s="17" t="n"/>
      <c r="F99" s="17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9">
        <f>IF(COUNT(G99:R99)=0,"",SUM(G99:R99))</f>
        <v/>
      </c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9">
        <f>IF(COUNT(T99:AE99)=0,"",SUM(T99:AE99))</f>
        <v/>
      </c>
      <c r="AG99" s="17" t="n"/>
      <c r="AH99" s="17" t="n"/>
      <c r="AI99" s="17" t="n"/>
      <c r="AJ99" s="17" t="n"/>
      <c r="AK99" s="17" t="n"/>
      <c r="AL99" s="22">
        <f>IF($A99="","",IF(OR(AM99="移管",AN99="移管"),"移管",IF(OR(AM99="一部",AN99="一部"),"一部",IF(OR(AM99="判定保留",AN99="判定保留"),"判定保留",IF(OR(AM99="留保",AN99="留保"),"留保","対象外")))))</f>
        <v/>
      </c>
      <c r="AM99" s="22">
        <f>IF($A99="","",IF(AU99=0,"対象外",IF(AV99=AU99,"移管",IF(AV99+AW99&gt;0,"一部",IF(AX99&gt;0,"判定保留",IF(AY99&gt;0,"留保","対象外"))))))</f>
        <v/>
      </c>
      <c r="AN99" s="22">
        <f>IF($A99="","",IF((AO99+AS99+AT99)=0,"対象外",IF(AP99=(AO99+AS99+AT99),"移管",IF(AP99&gt;0,"一部",IF(AR99+AT99&gt;0,"判定保留",IF(AQ99+AS99&gt;0,"留保","対象外"))))))</f>
        <v/>
      </c>
      <c r="AO99" s="22">
        <f>IF($A99="","",SUMPRODUCT((COUNTIFS('紐付け'!$A$4:$A$200,$A99,'紐付け'!$C$4:$C$200,'業務'!$C$4:$C$200)&gt;0)*('業務'!$A$4:$A$200&lt;&gt;"")))</f>
        <v/>
      </c>
      <c r="AP99" s="22">
        <f>IF($A99="","",SUMPRODUCT((COUNTIFS('紐付け'!$A$4:$A$200,$A99,'紐付け'!$C$4:$C$200,'業務'!$C$4:$C$200)&gt;0)*('業務'!$A$4:$A$200&lt;&gt;"")*('業務'!$P$4:$P$200="移管")))</f>
        <v/>
      </c>
      <c r="AQ99" s="22">
        <f>IF($A99="","",SUMPRODUCT((COUNTIFS('紐付け'!$A$4:$A$200,$A99,'紐付け'!$C$4:$C$200,'業務'!$C$4:$C$200)&gt;0)*('業務'!$A$4:$A$200&lt;&gt;"")*('業務'!$P$4:$P$200="留保")))</f>
        <v/>
      </c>
      <c r="AR99" s="22">
        <f>IF($A99="","",AO99-AP99-AQ99)</f>
        <v/>
      </c>
      <c r="AS99" s="22">
        <f>IF($A99="","",SUMPRODUCT(('紐付け'!$A$4:$A$200=$A99)*('紐付け'!$C$4:$C$200&lt;&gt;"")*(COUNTIF('業務'!$C$4:$C$200,'紐付け'!$C$4:$C$200)=0)*(COUNTIFS('システム'!$A$4:$A$200,'紐付け'!$C$4:$C$200,'システム'!$N$4:$N$200,"留保")&gt;0)))</f>
        <v/>
      </c>
      <c r="AT99" s="22">
        <f>IF($A99="","",SUMPRODUCT(('紐付け'!$A$4:$A$200=$A99)*('紐付け'!$C$4:$C$200&lt;&gt;"")*(COUNTIF('業務'!$C$4:$C$200,'紐付け'!$C$4:$C$200)=0))-AS99)</f>
        <v/>
      </c>
      <c r="AU99" s="22">
        <f>IF($A99="","",COUNTIF('契約'!$C$4:$C$200,$A99))</f>
        <v/>
      </c>
      <c r="AV99" s="22">
        <f>IF($A99="","",COUNTIFS('契約'!$C$4:$C$200,$A99,'契約'!$O$4:$O$200,"移管"))</f>
        <v/>
      </c>
      <c r="AW99" s="22">
        <f>IF($A99="","",COUNTIFS('契約'!$C$4:$C$200,$A99,'契約'!$O$4:$O$200,"一部"))</f>
        <v/>
      </c>
      <c r="AX99" s="22">
        <f>IF($A99="","",COUNTIFS('契約'!$C$4:$C$200,$A99,'契約'!$O$4:$O$200,"判定保留"))</f>
        <v/>
      </c>
      <c r="AY99" s="22">
        <f>IF($A99="","",COUNTIFS('契約'!$C$4:$C$200,$A99,'契約'!$O$4:$O$200,"留保"))</f>
        <v/>
      </c>
    </row>
    <row r="100">
      <c r="A100" s="17" t="n"/>
      <c r="B100" s="17" t="n"/>
      <c r="C100" s="17" t="n"/>
      <c r="D100" s="17" t="n"/>
      <c r="E100" s="17" t="n"/>
      <c r="F100" s="17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9">
        <f>IF(COUNT(G100:R100)=0,"",SUM(G100:R100))</f>
        <v/>
      </c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9">
        <f>IF(COUNT(T100:AE100)=0,"",SUM(T100:AE100))</f>
        <v/>
      </c>
      <c r="AG100" s="17" t="n"/>
      <c r="AH100" s="17" t="n"/>
      <c r="AI100" s="17" t="n"/>
      <c r="AJ100" s="17" t="n"/>
      <c r="AK100" s="17" t="n"/>
      <c r="AL100" s="22">
        <f>IF($A100="","",IF(OR(AM100="移管",AN100="移管"),"移管",IF(OR(AM100="一部",AN100="一部"),"一部",IF(OR(AM100="判定保留",AN100="判定保留"),"判定保留",IF(OR(AM100="留保",AN100="留保"),"留保","対象外")))))</f>
        <v/>
      </c>
      <c r="AM100" s="22">
        <f>IF($A100="","",IF(AU100=0,"対象外",IF(AV100=AU100,"移管",IF(AV100+AW100&gt;0,"一部",IF(AX100&gt;0,"判定保留",IF(AY100&gt;0,"留保","対象外"))))))</f>
        <v/>
      </c>
      <c r="AN100" s="22">
        <f>IF($A100="","",IF((AO100+AS100+AT100)=0,"対象外",IF(AP100=(AO100+AS100+AT100),"移管",IF(AP100&gt;0,"一部",IF(AR100+AT100&gt;0,"判定保留",IF(AQ100+AS100&gt;0,"留保","対象外"))))))</f>
        <v/>
      </c>
      <c r="AO100" s="22">
        <f>IF($A100="","",SUMPRODUCT((COUNTIFS('紐付け'!$A$4:$A$200,$A100,'紐付け'!$C$4:$C$200,'業務'!$C$4:$C$200)&gt;0)*('業務'!$A$4:$A$200&lt;&gt;"")))</f>
        <v/>
      </c>
      <c r="AP100" s="22">
        <f>IF($A100="","",SUMPRODUCT((COUNTIFS('紐付け'!$A$4:$A$200,$A100,'紐付け'!$C$4:$C$200,'業務'!$C$4:$C$200)&gt;0)*('業務'!$A$4:$A$200&lt;&gt;"")*('業務'!$P$4:$P$200="移管")))</f>
        <v/>
      </c>
      <c r="AQ100" s="22">
        <f>IF($A100="","",SUMPRODUCT((COUNTIFS('紐付け'!$A$4:$A$200,$A100,'紐付け'!$C$4:$C$200,'業務'!$C$4:$C$200)&gt;0)*('業務'!$A$4:$A$200&lt;&gt;"")*('業務'!$P$4:$P$200="留保")))</f>
        <v/>
      </c>
      <c r="AR100" s="22">
        <f>IF($A100="","",AO100-AP100-AQ100)</f>
        <v/>
      </c>
      <c r="AS100" s="22">
        <f>IF($A100="","",SUMPRODUCT(('紐付け'!$A$4:$A$200=$A100)*('紐付け'!$C$4:$C$200&lt;&gt;"")*(COUNTIF('業務'!$C$4:$C$200,'紐付け'!$C$4:$C$200)=0)*(COUNTIFS('システム'!$A$4:$A$200,'紐付け'!$C$4:$C$200,'システム'!$N$4:$N$200,"留保")&gt;0)))</f>
        <v/>
      </c>
      <c r="AT100" s="22">
        <f>IF($A100="","",SUMPRODUCT(('紐付け'!$A$4:$A$200=$A100)*('紐付け'!$C$4:$C$200&lt;&gt;"")*(COUNTIF('業務'!$C$4:$C$200,'紐付け'!$C$4:$C$200)=0))-AS100)</f>
        <v/>
      </c>
      <c r="AU100" s="22">
        <f>IF($A100="","",COUNTIF('契約'!$C$4:$C$200,$A100))</f>
        <v/>
      </c>
      <c r="AV100" s="22">
        <f>IF($A100="","",COUNTIFS('契約'!$C$4:$C$200,$A100,'契約'!$O$4:$O$200,"移管"))</f>
        <v/>
      </c>
      <c r="AW100" s="22">
        <f>IF($A100="","",COUNTIFS('契約'!$C$4:$C$200,$A100,'契約'!$O$4:$O$200,"一部"))</f>
        <v/>
      </c>
      <c r="AX100" s="22">
        <f>IF($A100="","",COUNTIFS('契約'!$C$4:$C$200,$A100,'契約'!$O$4:$O$200,"判定保留"))</f>
        <v/>
      </c>
      <c r="AY100" s="22">
        <f>IF($A100="","",COUNTIFS('契約'!$C$4:$C$200,$A100,'契約'!$O$4:$O$200,"留保"))</f>
        <v/>
      </c>
    </row>
    <row r="101">
      <c r="A101" s="17" t="n"/>
      <c r="B101" s="17" t="n"/>
      <c r="C101" s="17" t="n"/>
      <c r="D101" s="17" t="n"/>
      <c r="E101" s="17" t="n"/>
      <c r="F101" s="17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9">
        <f>IF(COUNT(G101:R101)=0,"",SUM(G101:R101))</f>
        <v/>
      </c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9">
        <f>IF(COUNT(T101:AE101)=0,"",SUM(T101:AE101))</f>
        <v/>
      </c>
      <c r="AG101" s="17" t="n"/>
      <c r="AH101" s="17" t="n"/>
      <c r="AI101" s="17" t="n"/>
      <c r="AJ101" s="17" t="n"/>
      <c r="AK101" s="17" t="n"/>
      <c r="AL101" s="22">
        <f>IF($A101="","",IF(OR(AM101="移管",AN101="移管"),"移管",IF(OR(AM101="一部",AN101="一部"),"一部",IF(OR(AM101="判定保留",AN101="判定保留"),"判定保留",IF(OR(AM101="留保",AN101="留保"),"留保","対象外")))))</f>
        <v/>
      </c>
      <c r="AM101" s="22">
        <f>IF($A101="","",IF(AU101=0,"対象外",IF(AV101=AU101,"移管",IF(AV101+AW101&gt;0,"一部",IF(AX101&gt;0,"判定保留",IF(AY101&gt;0,"留保","対象外"))))))</f>
        <v/>
      </c>
      <c r="AN101" s="22">
        <f>IF($A101="","",IF((AO101+AS101+AT101)=0,"対象外",IF(AP101=(AO101+AS101+AT101),"移管",IF(AP101&gt;0,"一部",IF(AR101+AT101&gt;0,"判定保留",IF(AQ101+AS101&gt;0,"留保","対象外"))))))</f>
        <v/>
      </c>
      <c r="AO101" s="22">
        <f>IF($A101="","",SUMPRODUCT((COUNTIFS('紐付け'!$A$4:$A$200,$A101,'紐付け'!$C$4:$C$200,'業務'!$C$4:$C$200)&gt;0)*('業務'!$A$4:$A$200&lt;&gt;"")))</f>
        <v/>
      </c>
      <c r="AP101" s="22">
        <f>IF($A101="","",SUMPRODUCT((COUNTIFS('紐付け'!$A$4:$A$200,$A101,'紐付け'!$C$4:$C$200,'業務'!$C$4:$C$200)&gt;0)*('業務'!$A$4:$A$200&lt;&gt;"")*('業務'!$P$4:$P$200="移管")))</f>
        <v/>
      </c>
      <c r="AQ101" s="22">
        <f>IF($A101="","",SUMPRODUCT((COUNTIFS('紐付け'!$A$4:$A$200,$A101,'紐付け'!$C$4:$C$200,'業務'!$C$4:$C$200)&gt;0)*('業務'!$A$4:$A$200&lt;&gt;"")*('業務'!$P$4:$P$200="留保")))</f>
        <v/>
      </c>
      <c r="AR101" s="22">
        <f>IF($A101="","",AO101-AP101-AQ101)</f>
        <v/>
      </c>
      <c r="AS101" s="22">
        <f>IF($A101="","",SUMPRODUCT(('紐付け'!$A$4:$A$200=$A101)*('紐付け'!$C$4:$C$200&lt;&gt;"")*(COUNTIF('業務'!$C$4:$C$200,'紐付け'!$C$4:$C$200)=0)*(COUNTIFS('システム'!$A$4:$A$200,'紐付け'!$C$4:$C$200,'システム'!$N$4:$N$200,"留保")&gt;0)))</f>
        <v/>
      </c>
      <c r="AT101" s="22">
        <f>IF($A101="","",SUMPRODUCT(('紐付け'!$A$4:$A$200=$A101)*('紐付け'!$C$4:$C$200&lt;&gt;"")*(COUNTIF('業務'!$C$4:$C$200,'紐付け'!$C$4:$C$200)=0))-AS101)</f>
        <v/>
      </c>
      <c r="AU101" s="22">
        <f>IF($A101="","",COUNTIF('契約'!$C$4:$C$200,$A101))</f>
        <v/>
      </c>
      <c r="AV101" s="22">
        <f>IF($A101="","",COUNTIFS('契約'!$C$4:$C$200,$A101,'契約'!$O$4:$O$200,"移管"))</f>
        <v/>
      </c>
      <c r="AW101" s="22">
        <f>IF($A101="","",COUNTIFS('契約'!$C$4:$C$200,$A101,'契約'!$O$4:$O$200,"一部"))</f>
        <v/>
      </c>
      <c r="AX101" s="22">
        <f>IF($A101="","",COUNTIFS('契約'!$C$4:$C$200,$A101,'契約'!$O$4:$O$200,"判定保留"))</f>
        <v/>
      </c>
      <c r="AY101" s="22">
        <f>IF($A101="","",COUNTIFS('契約'!$C$4:$C$200,$A101,'契約'!$O$4:$O$200,"留保"))</f>
        <v/>
      </c>
    </row>
    <row r="102">
      <c r="A102" s="17" t="n"/>
      <c r="B102" s="17" t="n"/>
      <c r="C102" s="17" t="n"/>
      <c r="D102" s="17" t="n"/>
      <c r="E102" s="17" t="n"/>
      <c r="F102" s="17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9">
        <f>IF(COUNT(G102:R102)=0,"",SUM(G102:R102))</f>
        <v/>
      </c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9">
        <f>IF(COUNT(T102:AE102)=0,"",SUM(T102:AE102))</f>
        <v/>
      </c>
      <c r="AG102" s="17" t="n"/>
      <c r="AH102" s="17" t="n"/>
      <c r="AI102" s="17" t="n"/>
      <c r="AJ102" s="17" t="n"/>
      <c r="AK102" s="17" t="n"/>
      <c r="AL102" s="22">
        <f>IF($A102="","",IF(OR(AM102="移管",AN102="移管"),"移管",IF(OR(AM102="一部",AN102="一部"),"一部",IF(OR(AM102="判定保留",AN102="判定保留"),"判定保留",IF(OR(AM102="留保",AN102="留保"),"留保","対象外")))))</f>
        <v/>
      </c>
      <c r="AM102" s="22">
        <f>IF($A102="","",IF(AU102=0,"対象外",IF(AV102=AU102,"移管",IF(AV102+AW102&gt;0,"一部",IF(AX102&gt;0,"判定保留",IF(AY102&gt;0,"留保","対象外"))))))</f>
        <v/>
      </c>
      <c r="AN102" s="22">
        <f>IF($A102="","",IF((AO102+AS102+AT102)=0,"対象外",IF(AP102=(AO102+AS102+AT102),"移管",IF(AP102&gt;0,"一部",IF(AR102+AT102&gt;0,"判定保留",IF(AQ102+AS102&gt;0,"留保","対象外"))))))</f>
        <v/>
      </c>
      <c r="AO102" s="22">
        <f>IF($A102="","",SUMPRODUCT((COUNTIFS('紐付け'!$A$4:$A$200,$A102,'紐付け'!$C$4:$C$200,'業務'!$C$4:$C$200)&gt;0)*('業務'!$A$4:$A$200&lt;&gt;"")))</f>
        <v/>
      </c>
      <c r="AP102" s="22">
        <f>IF($A102="","",SUMPRODUCT((COUNTIFS('紐付け'!$A$4:$A$200,$A102,'紐付け'!$C$4:$C$200,'業務'!$C$4:$C$200)&gt;0)*('業務'!$A$4:$A$200&lt;&gt;"")*('業務'!$P$4:$P$200="移管")))</f>
        <v/>
      </c>
      <c r="AQ102" s="22">
        <f>IF($A102="","",SUMPRODUCT((COUNTIFS('紐付け'!$A$4:$A$200,$A102,'紐付け'!$C$4:$C$200,'業務'!$C$4:$C$200)&gt;0)*('業務'!$A$4:$A$200&lt;&gt;"")*('業務'!$P$4:$P$200="留保")))</f>
        <v/>
      </c>
      <c r="AR102" s="22">
        <f>IF($A102="","",AO102-AP102-AQ102)</f>
        <v/>
      </c>
      <c r="AS102" s="22">
        <f>IF($A102="","",SUMPRODUCT(('紐付け'!$A$4:$A$200=$A102)*('紐付け'!$C$4:$C$200&lt;&gt;"")*(COUNTIF('業務'!$C$4:$C$200,'紐付け'!$C$4:$C$200)=0)*(COUNTIFS('システム'!$A$4:$A$200,'紐付け'!$C$4:$C$200,'システム'!$N$4:$N$200,"留保")&gt;0)))</f>
        <v/>
      </c>
      <c r="AT102" s="22">
        <f>IF($A102="","",SUMPRODUCT(('紐付け'!$A$4:$A$200=$A102)*('紐付け'!$C$4:$C$200&lt;&gt;"")*(COUNTIF('業務'!$C$4:$C$200,'紐付け'!$C$4:$C$200)=0))-AS102)</f>
        <v/>
      </c>
      <c r="AU102" s="22">
        <f>IF($A102="","",COUNTIF('契約'!$C$4:$C$200,$A102))</f>
        <v/>
      </c>
      <c r="AV102" s="22">
        <f>IF($A102="","",COUNTIFS('契約'!$C$4:$C$200,$A102,'契約'!$O$4:$O$200,"移管"))</f>
        <v/>
      </c>
      <c r="AW102" s="22">
        <f>IF($A102="","",COUNTIFS('契約'!$C$4:$C$200,$A102,'契約'!$O$4:$O$200,"一部"))</f>
        <v/>
      </c>
      <c r="AX102" s="22">
        <f>IF($A102="","",COUNTIFS('契約'!$C$4:$C$200,$A102,'契約'!$O$4:$O$200,"判定保留"))</f>
        <v/>
      </c>
      <c r="AY102" s="22">
        <f>IF($A102="","",COUNTIFS('契約'!$C$4:$C$200,$A102,'契約'!$O$4:$O$200,"留保"))</f>
        <v/>
      </c>
    </row>
    <row r="103">
      <c r="A103" s="17" t="n"/>
      <c r="B103" s="17" t="n"/>
      <c r="C103" s="17" t="n"/>
      <c r="D103" s="17" t="n"/>
      <c r="E103" s="17" t="n"/>
      <c r="F103" s="17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9">
        <f>IF(COUNT(G103:R103)=0,"",SUM(G103:R103))</f>
        <v/>
      </c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9">
        <f>IF(COUNT(T103:AE103)=0,"",SUM(T103:AE103))</f>
        <v/>
      </c>
      <c r="AG103" s="17" t="n"/>
      <c r="AH103" s="17" t="n"/>
      <c r="AI103" s="17" t="n"/>
      <c r="AJ103" s="17" t="n"/>
      <c r="AK103" s="17" t="n"/>
      <c r="AL103" s="22">
        <f>IF($A103="","",IF(OR(AM103="移管",AN103="移管"),"移管",IF(OR(AM103="一部",AN103="一部"),"一部",IF(OR(AM103="判定保留",AN103="判定保留"),"判定保留",IF(OR(AM103="留保",AN103="留保"),"留保","対象外")))))</f>
        <v/>
      </c>
      <c r="AM103" s="22">
        <f>IF($A103="","",IF(AU103=0,"対象外",IF(AV103=AU103,"移管",IF(AV103+AW103&gt;0,"一部",IF(AX103&gt;0,"判定保留",IF(AY103&gt;0,"留保","対象外"))))))</f>
        <v/>
      </c>
      <c r="AN103" s="22">
        <f>IF($A103="","",IF((AO103+AS103+AT103)=0,"対象外",IF(AP103=(AO103+AS103+AT103),"移管",IF(AP103&gt;0,"一部",IF(AR103+AT103&gt;0,"判定保留",IF(AQ103+AS103&gt;0,"留保","対象外"))))))</f>
        <v/>
      </c>
      <c r="AO103" s="22">
        <f>IF($A103="","",SUMPRODUCT((COUNTIFS('紐付け'!$A$4:$A$200,$A103,'紐付け'!$C$4:$C$200,'業務'!$C$4:$C$200)&gt;0)*('業務'!$A$4:$A$200&lt;&gt;"")))</f>
        <v/>
      </c>
      <c r="AP103" s="22">
        <f>IF($A103="","",SUMPRODUCT((COUNTIFS('紐付け'!$A$4:$A$200,$A103,'紐付け'!$C$4:$C$200,'業務'!$C$4:$C$200)&gt;0)*('業務'!$A$4:$A$200&lt;&gt;"")*('業務'!$P$4:$P$200="移管")))</f>
        <v/>
      </c>
      <c r="AQ103" s="22">
        <f>IF($A103="","",SUMPRODUCT((COUNTIFS('紐付け'!$A$4:$A$200,$A103,'紐付け'!$C$4:$C$200,'業務'!$C$4:$C$200)&gt;0)*('業務'!$A$4:$A$200&lt;&gt;"")*('業務'!$P$4:$P$200="留保")))</f>
        <v/>
      </c>
      <c r="AR103" s="22">
        <f>IF($A103="","",AO103-AP103-AQ103)</f>
        <v/>
      </c>
      <c r="AS103" s="22">
        <f>IF($A103="","",SUMPRODUCT(('紐付け'!$A$4:$A$200=$A103)*('紐付け'!$C$4:$C$200&lt;&gt;"")*(COUNTIF('業務'!$C$4:$C$200,'紐付け'!$C$4:$C$200)=0)*(COUNTIFS('システム'!$A$4:$A$200,'紐付け'!$C$4:$C$200,'システム'!$N$4:$N$200,"留保")&gt;0)))</f>
        <v/>
      </c>
      <c r="AT103" s="22">
        <f>IF($A103="","",SUMPRODUCT(('紐付け'!$A$4:$A$200=$A103)*('紐付け'!$C$4:$C$200&lt;&gt;"")*(COUNTIF('業務'!$C$4:$C$200,'紐付け'!$C$4:$C$200)=0))-AS103)</f>
        <v/>
      </c>
      <c r="AU103" s="22">
        <f>IF($A103="","",COUNTIF('契約'!$C$4:$C$200,$A103))</f>
        <v/>
      </c>
      <c r="AV103" s="22">
        <f>IF($A103="","",COUNTIFS('契約'!$C$4:$C$200,$A103,'契約'!$O$4:$O$200,"移管"))</f>
        <v/>
      </c>
      <c r="AW103" s="22">
        <f>IF($A103="","",COUNTIFS('契約'!$C$4:$C$200,$A103,'契約'!$O$4:$O$200,"一部"))</f>
        <v/>
      </c>
      <c r="AX103" s="22">
        <f>IF($A103="","",COUNTIFS('契約'!$C$4:$C$200,$A103,'契約'!$O$4:$O$200,"判定保留"))</f>
        <v/>
      </c>
      <c r="AY103" s="22">
        <f>IF($A103="","",COUNTIFS('契約'!$C$4:$C$200,$A103,'契約'!$O$4:$O$200,"留保"))</f>
        <v/>
      </c>
    </row>
    <row r="104">
      <c r="A104" s="17" t="n"/>
      <c r="B104" s="17" t="n"/>
      <c r="C104" s="17" t="n"/>
      <c r="D104" s="17" t="n"/>
      <c r="E104" s="17" t="n"/>
      <c r="F104" s="17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9">
        <f>IF(COUNT(G104:R104)=0,"",SUM(G104:R104))</f>
        <v/>
      </c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9">
        <f>IF(COUNT(T104:AE104)=0,"",SUM(T104:AE104))</f>
        <v/>
      </c>
      <c r="AG104" s="17" t="n"/>
      <c r="AH104" s="17" t="n"/>
      <c r="AI104" s="17" t="n"/>
      <c r="AJ104" s="17" t="n"/>
      <c r="AK104" s="17" t="n"/>
      <c r="AL104" s="22">
        <f>IF($A104="","",IF(OR(AM104="移管",AN104="移管"),"移管",IF(OR(AM104="一部",AN104="一部"),"一部",IF(OR(AM104="判定保留",AN104="判定保留"),"判定保留",IF(OR(AM104="留保",AN104="留保"),"留保","対象外")))))</f>
        <v/>
      </c>
      <c r="AM104" s="22">
        <f>IF($A104="","",IF(AU104=0,"対象外",IF(AV104=AU104,"移管",IF(AV104+AW104&gt;0,"一部",IF(AX104&gt;0,"判定保留",IF(AY104&gt;0,"留保","対象外"))))))</f>
        <v/>
      </c>
      <c r="AN104" s="22">
        <f>IF($A104="","",IF((AO104+AS104+AT104)=0,"対象外",IF(AP104=(AO104+AS104+AT104),"移管",IF(AP104&gt;0,"一部",IF(AR104+AT104&gt;0,"判定保留",IF(AQ104+AS104&gt;0,"留保","対象外"))))))</f>
        <v/>
      </c>
      <c r="AO104" s="22">
        <f>IF($A104="","",SUMPRODUCT((COUNTIFS('紐付け'!$A$4:$A$200,$A104,'紐付け'!$C$4:$C$200,'業務'!$C$4:$C$200)&gt;0)*('業務'!$A$4:$A$200&lt;&gt;"")))</f>
        <v/>
      </c>
      <c r="AP104" s="22">
        <f>IF($A104="","",SUMPRODUCT((COUNTIFS('紐付け'!$A$4:$A$200,$A104,'紐付け'!$C$4:$C$200,'業務'!$C$4:$C$200)&gt;0)*('業務'!$A$4:$A$200&lt;&gt;"")*('業務'!$P$4:$P$200="移管")))</f>
        <v/>
      </c>
      <c r="AQ104" s="22">
        <f>IF($A104="","",SUMPRODUCT((COUNTIFS('紐付け'!$A$4:$A$200,$A104,'紐付け'!$C$4:$C$200,'業務'!$C$4:$C$200)&gt;0)*('業務'!$A$4:$A$200&lt;&gt;"")*('業務'!$P$4:$P$200="留保")))</f>
        <v/>
      </c>
      <c r="AR104" s="22">
        <f>IF($A104="","",AO104-AP104-AQ104)</f>
        <v/>
      </c>
      <c r="AS104" s="22">
        <f>IF($A104="","",SUMPRODUCT(('紐付け'!$A$4:$A$200=$A104)*('紐付け'!$C$4:$C$200&lt;&gt;"")*(COUNTIF('業務'!$C$4:$C$200,'紐付け'!$C$4:$C$200)=0)*(COUNTIFS('システム'!$A$4:$A$200,'紐付け'!$C$4:$C$200,'システム'!$N$4:$N$200,"留保")&gt;0)))</f>
        <v/>
      </c>
      <c r="AT104" s="22">
        <f>IF($A104="","",SUMPRODUCT(('紐付け'!$A$4:$A$200=$A104)*('紐付け'!$C$4:$C$200&lt;&gt;"")*(COUNTIF('業務'!$C$4:$C$200,'紐付け'!$C$4:$C$200)=0))-AS104)</f>
        <v/>
      </c>
      <c r="AU104" s="22">
        <f>IF($A104="","",COUNTIF('契約'!$C$4:$C$200,$A104))</f>
        <v/>
      </c>
      <c r="AV104" s="22">
        <f>IF($A104="","",COUNTIFS('契約'!$C$4:$C$200,$A104,'契約'!$O$4:$O$200,"移管"))</f>
        <v/>
      </c>
      <c r="AW104" s="22">
        <f>IF($A104="","",COUNTIFS('契約'!$C$4:$C$200,$A104,'契約'!$O$4:$O$200,"一部"))</f>
        <v/>
      </c>
      <c r="AX104" s="22">
        <f>IF($A104="","",COUNTIFS('契約'!$C$4:$C$200,$A104,'契約'!$O$4:$O$200,"判定保留"))</f>
        <v/>
      </c>
      <c r="AY104" s="22">
        <f>IF($A104="","",COUNTIFS('契約'!$C$4:$C$200,$A104,'契約'!$O$4:$O$200,"留保"))</f>
        <v/>
      </c>
    </row>
    <row r="105">
      <c r="A105" s="17" t="n"/>
      <c r="B105" s="17" t="n"/>
      <c r="C105" s="17" t="n"/>
      <c r="D105" s="17" t="n"/>
      <c r="E105" s="17" t="n"/>
      <c r="F105" s="17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9">
        <f>IF(COUNT(G105:R105)=0,"",SUM(G105:R105))</f>
        <v/>
      </c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9">
        <f>IF(COUNT(T105:AE105)=0,"",SUM(T105:AE105))</f>
        <v/>
      </c>
      <c r="AG105" s="17" t="n"/>
      <c r="AH105" s="17" t="n"/>
      <c r="AI105" s="17" t="n"/>
      <c r="AJ105" s="17" t="n"/>
      <c r="AK105" s="17" t="n"/>
      <c r="AL105" s="22">
        <f>IF($A105="","",IF(OR(AM105="移管",AN105="移管"),"移管",IF(OR(AM105="一部",AN105="一部"),"一部",IF(OR(AM105="判定保留",AN105="判定保留"),"判定保留",IF(OR(AM105="留保",AN105="留保"),"留保","対象外")))))</f>
        <v/>
      </c>
      <c r="AM105" s="22">
        <f>IF($A105="","",IF(AU105=0,"対象外",IF(AV105=AU105,"移管",IF(AV105+AW105&gt;0,"一部",IF(AX105&gt;0,"判定保留",IF(AY105&gt;0,"留保","対象外"))))))</f>
        <v/>
      </c>
      <c r="AN105" s="22">
        <f>IF($A105="","",IF((AO105+AS105+AT105)=0,"対象外",IF(AP105=(AO105+AS105+AT105),"移管",IF(AP105&gt;0,"一部",IF(AR105+AT105&gt;0,"判定保留",IF(AQ105+AS105&gt;0,"留保","対象外"))))))</f>
        <v/>
      </c>
      <c r="AO105" s="22">
        <f>IF($A105="","",SUMPRODUCT((COUNTIFS('紐付け'!$A$4:$A$200,$A105,'紐付け'!$C$4:$C$200,'業務'!$C$4:$C$200)&gt;0)*('業務'!$A$4:$A$200&lt;&gt;"")))</f>
        <v/>
      </c>
      <c r="AP105" s="22">
        <f>IF($A105="","",SUMPRODUCT((COUNTIFS('紐付け'!$A$4:$A$200,$A105,'紐付け'!$C$4:$C$200,'業務'!$C$4:$C$200)&gt;0)*('業務'!$A$4:$A$200&lt;&gt;"")*('業務'!$P$4:$P$200="移管")))</f>
        <v/>
      </c>
      <c r="AQ105" s="22">
        <f>IF($A105="","",SUMPRODUCT((COUNTIFS('紐付け'!$A$4:$A$200,$A105,'紐付け'!$C$4:$C$200,'業務'!$C$4:$C$200)&gt;0)*('業務'!$A$4:$A$200&lt;&gt;"")*('業務'!$P$4:$P$200="留保")))</f>
        <v/>
      </c>
      <c r="AR105" s="22">
        <f>IF($A105="","",AO105-AP105-AQ105)</f>
        <v/>
      </c>
      <c r="AS105" s="22">
        <f>IF($A105="","",SUMPRODUCT(('紐付け'!$A$4:$A$200=$A105)*('紐付け'!$C$4:$C$200&lt;&gt;"")*(COUNTIF('業務'!$C$4:$C$200,'紐付け'!$C$4:$C$200)=0)*(COUNTIFS('システム'!$A$4:$A$200,'紐付け'!$C$4:$C$200,'システム'!$N$4:$N$200,"留保")&gt;0)))</f>
        <v/>
      </c>
      <c r="AT105" s="22">
        <f>IF($A105="","",SUMPRODUCT(('紐付け'!$A$4:$A$200=$A105)*('紐付け'!$C$4:$C$200&lt;&gt;"")*(COUNTIF('業務'!$C$4:$C$200,'紐付け'!$C$4:$C$200)=0))-AS105)</f>
        <v/>
      </c>
      <c r="AU105" s="22">
        <f>IF($A105="","",COUNTIF('契約'!$C$4:$C$200,$A105))</f>
        <v/>
      </c>
      <c r="AV105" s="22">
        <f>IF($A105="","",COUNTIFS('契約'!$C$4:$C$200,$A105,'契約'!$O$4:$O$200,"移管"))</f>
        <v/>
      </c>
      <c r="AW105" s="22">
        <f>IF($A105="","",COUNTIFS('契約'!$C$4:$C$200,$A105,'契約'!$O$4:$O$200,"一部"))</f>
        <v/>
      </c>
      <c r="AX105" s="22">
        <f>IF($A105="","",COUNTIFS('契約'!$C$4:$C$200,$A105,'契約'!$O$4:$O$200,"判定保留"))</f>
        <v/>
      </c>
      <c r="AY105" s="22">
        <f>IF($A105="","",COUNTIFS('契約'!$C$4:$C$200,$A105,'契約'!$O$4:$O$200,"留保"))</f>
        <v/>
      </c>
    </row>
    <row r="106">
      <c r="A106" s="17" t="n"/>
      <c r="B106" s="17" t="n"/>
      <c r="C106" s="17" t="n"/>
      <c r="D106" s="17" t="n"/>
      <c r="E106" s="17" t="n"/>
      <c r="F106" s="17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9">
        <f>IF(COUNT(G106:R106)=0,"",SUM(G106:R106))</f>
        <v/>
      </c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9">
        <f>IF(COUNT(T106:AE106)=0,"",SUM(T106:AE106))</f>
        <v/>
      </c>
      <c r="AG106" s="17" t="n"/>
      <c r="AH106" s="17" t="n"/>
      <c r="AI106" s="17" t="n"/>
      <c r="AJ106" s="17" t="n"/>
      <c r="AK106" s="17" t="n"/>
      <c r="AL106" s="22">
        <f>IF($A106="","",IF(OR(AM106="移管",AN106="移管"),"移管",IF(OR(AM106="一部",AN106="一部"),"一部",IF(OR(AM106="判定保留",AN106="判定保留"),"判定保留",IF(OR(AM106="留保",AN106="留保"),"留保","対象外")))))</f>
        <v/>
      </c>
      <c r="AM106" s="22">
        <f>IF($A106="","",IF(AU106=0,"対象外",IF(AV106=AU106,"移管",IF(AV106+AW106&gt;0,"一部",IF(AX106&gt;0,"判定保留",IF(AY106&gt;0,"留保","対象外"))))))</f>
        <v/>
      </c>
      <c r="AN106" s="22">
        <f>IF($A106="","",IF((AO106+AS106+AT106)=0,"対象外",IF(AP106=(AO106+AS106+AT106),"移管",IF(AP106&gt;0,"一部",IF(AR106+AT106&gt;0,"判定保留",IF(AQ106+AS106&gt;0,"留保","対象外"))))))</f>
        <v/>
      </c>
      <c r="AO106" s="22">
        <f>IF($A106="","",SUMPRODUCT((COUNTIFS('紐付け'!$A$4:$A$200,$A106,'紐付け'!$C$4:$C$200,'業務'!$C$4:$C$200)&gt;0)*('業務'!$A$4:$A$200&lt;&gt;"")))</f>
        <v/>
      </c>
      <c r="AP106" s="22">
        <f>IF($A106="","",SUMPRODUCT((COUNTIFS('紐付け'!$A$4:$A$200,$A106,'紐付け'!$C$4:$C$200,'業務'!$C$4:$C$200)&gt;0)*('業務'!$A$4:$A$200&lt;&gt;"")*('業務'!$P$4:$P$200="移管")))</f>
        <v/>
      </c>
      <c r="AQ106" s="22">
        <f>IF($A106="","",SUMPRODUCT((COUNTIFS('紐付け'!$A$4:$A$200,$A106,'紐付け'!$C$4:$C$200,'業務'!$C$4:$C$200)&gt;0)*('業務'!$A$4:$A$200&lt;&gt;"")*('業務'!$P$4:$P$200="留保")))</f>
        <v/>
      </c>
      <c r="AR106" s="22">
        <f>IF($A106="","",AO106-AP106-AQ106)</f>
        <v/>
      </c>
      <c r="AS106" s="22">
        <f>IF($A106="","",SUMPRODUCT(('紐付け'!$A$4:$A$200=$A106)*('紐付け'!$C$4:$C$200&lt;&gt;"")*(COUNTIF('業務'!$C$4:$C$200,'紐付け'!$C$4:$C$200)=0)*(COUNTIFS('システム'!$A$4:$A$200,'紐付け'!$C$4:$C$200,'システム'!$N$4:$N$200,"留保")&gt;0)))</f>
        <v/>
      </c>
      <c r="AT106" s="22">
        <f>IF($A106="","",SUMPRODUCT(('紐付け'!$A$4:$A$200=$A106)*('紐付け'!$C$4:$C$200&lt;&gt;"")*(COUNTIF('業務'!$C$4:$C$200,'紐付け'!$C$4:$C$200)=0))-AS106)</f>
        <v/>
      </c>
      <c r="AU106" s="22">
        <f>IF($A106="","",COUNTIF('契約'!$C$4:$C$200,$A106))</f>
        <v/>
      </c>
      <c r="AV106" s="22">
        <f>IF($A106="","",COUNTIFS('契約'!$C$4:$C$200,$A106,'契約'!$O$4:$O$200,"移管"))</f>
        <v/>
      </c>
      <c r="AW106" s="22">
        <f>IF($A106="","",COUNTIFS('契約'!$C$4:$C$200,$A106,'契約'!$O$4:$O$200,"一部"))</f>
        <v/>
      </c>
      <c r="AX106" s="22">
        <f>IF($A106="","",COUNTIFS('契約'!$C$4:$C$200,$A106,'契約'!$O$4:$O$200,"判定保留"))</f>
        <v/>
      </c>
      <c r="AY106" s="22">
        <f>IF($A106="","",COUNTIFS('契約'!$C$4:$C$200,$A106,'契約'!$O$4:$O$200,"留保"))</f>
        <v/>
      </c>
    </row>
    <row r="107">
      <c r="A107" s="17" t="n"/>
      <c r="B107" s="17" t="n"/>
      <c r="C107" s="17" t="n"/>
      <c r="D107" s="17" t="n"/>
      <c r="E107" s="17" t="n"/>
      <c r="F107" s="17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9">
        <f>IF(COUNT(G107:R107)=0,"",SUM(G107:R107))</f>
        <v/>
      </c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9">
        <f>IF(COUNT(T107:AE107)=0,"",SUM(T107:AE107))</f>
        <v/>
      </c>
      <c r="AG107" s="17" t="n"/>
      <c r="AH107" s="17" t="n"/>
      <c r="AI107" s="17" t="n"/>
      <c r="AJ107" s="17" t="n"/>
      <c r="AK107" s="17" t="n"/>
      <c r="AL107" s="22">
        <f>IF($A107="","",IF(OR(AM107="移管",AN107="移管"),"移管",IF(OR(AM107="一部",AN107="一部"),"一部",IF(OR(AM107="判定保留",AN107="判定保留"),"判定保留",IF(OR(AM107="留保",AN107="留保"),"留保","対象外")))))</f>
        <v/>
      </c>
      <c r="AM107" s="22">
        <f>IF($A107="","",IF(AU107=0,"対象外",IF(AV107=AU107,"移管",IF(AV107+AW107&gt;0,"一部",IF(AX107&gt;0,"判定保留",IF(AY107&gt;0,"留保","対象外"))))))</f>
        <v/>
      </c>
      <c r="AN107" s="22">
        <f>IF($A107="","",IF((AO107+AS107+AT107)=0,"対象外",IF(AP107=(AO107+AS107+AT107),"移管",IF(AP107&gt;0,"一部",IF(AR107+AT107&gt;0,"判定保留",IF(AQ107+AS107&gt;0,"留保","対象外"))))))</f>
        <v/>
      </c>
      <c r="AO107" s="22">
        <f>IF($A107="","",SUMPRODUCT((COUNTIFS('紐付け'!$A$4:$A$200,$A107,'紐付け'!$C$4:$C$200,'業務'!$C$4:$C$200)&gt;0)*('業務'!$A$4:$A$200&lt;&gt;"")))</f>
        <v/>
      </c>
      <c r="AP107" s="22">
        <f>IF($A107="","",SUMPRODUCT((COUNTIFS('紐付け'!$A$4:$A$200,$A107,'紐付け'!$C$4:$C$200,'業務'!$C$4:$C$200)&gt;0)*('業務'!$A$4:$A$200&lt;&gt;"")*('業務'!$P$4:$P$200="移管")))</f>
        <v/>
      </c>
      <c r="AQ107" s="22">
        <f>IF($A107="","",SUMPRODUCT((COUNTIFS('紐付け'!$A$4:$A$200,$A107,'紐付け'!$C$4:$C$200,'業務'!$C$4:$C$200)&gt;0)*('業務'!$A$4:$A$200&lt;&gt;"")*('業務'!$P$4:$P$200="留保")))</f>
        <v/>
      </c>
      <c r="AR107" s="22">
        <f>IF($A107="","",AO107-AP107-AQ107)</f>
        <v/>
      </c>
      <c r="AS107" s="22">
        <f>IF($A107="","",SUMPRODUCT(('紐付け'!$A$4:$A$200=$A107)*('紐付け'!$C$4:$C$200&lt;&gt;"")*(COUNTIF('業務'!$C$4:$C$200,'紐付け'!$C$4:$C$200)=0)*(COUNTIFS('システム'!$A$4:$A$200,'紐付け'!$C$4:$C$200,'システム'!$N$4:$N$200,"留保")&gt;0)))</f>
        <v/>
      </c>
      <c r="AT107" s="22">
        <f>IF($A107="","",SUMPRODUCT(('紐付け'!$A$4:$A$200=$A107)*('紐付け'!$C$4:$C$200&lt;&gt;"")*(COUNTIF('業務'!$C$4:$C$200,'紐付け'!$C$4:$C$200)=0))-AS107)</f>
        <v/>
      </c>
      <c r="AU107" s="22">
        <f>IF($A107="","",COUNTIF('契約'!$C$4:$C$200,$A107))</f>
        <v/>
      </c>
      <c r="AV107" s="22">
        <f>IF($A107="","",COUNTIFS('契約'!$C$4:$C$200,$A107,'契約'!$O$4:$O$200,"移管"))</f>
        <v/>
      </c>
      <c r="AW107" s="22">
        <f>IF($A107="","",COUNTIFS('契約'!$C$4:$C$200,$A107,'契約'!$O$4:$O$200,"一部"))</f>
        <v/>
      </c>
      <c r="AX107" s="22">
        <f>IF($A107="","",COUNTIFS('契約'!$C$4:$C$200,$A107,'契約'!$O$4:$O$200,"判定保留"))</f>
        <v/>
      </c>
      <c r="AY107" s="22">
        <f>IF($A107="","",COUNTIFS('契約'!$C$4:$C$200,$A107,'契約'!$O$4:$O$200,"留保"))</f>
        <v/>
      </c>
    </row>
    <row r="108">
      <c r="A108" s="17" t="n"/>
      <c r="B108" s="17" t="n"/>
      <c r="C108" s="17" t="n"/>
      <c r="D108" s="17" t="n"/>
      <c r="E108" s="17" t="n"/>
      <c r="F108" s="17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9">
        <f>IF(COUNT(G108:R108)=0,"",SUM(G108:R108))</f>
        <v/>
      </c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9">
        <f>IF(COUNT(T108:AE108)=0,"",SUM(T108:AE108))</f>
        <v/>
      </c>
      <c r="AG108" s="17" t="n"/>
      <c r="AH108" s="17" t="n"/>
      <c r="AI108" s="17" t="n"/>
      <c r="AJ108" s="17" t="n"/>
      <c r="AK108" s="17" t="n"/>
      <c r="AL108" s="22">
        <f>IF($A108="","",IF(OR(AM108="移管",AN108="移管"),"移管",IF(OR(AM108="一部",AN108="一部"),"一部",IF(OR(AM108="判定保留",AN108="判定保留"),"判定保留",IF(OR(AM108="留保",AN108="留保"),"留保","対象外")))))</f>
        <v/>
      </c>
      <c r="AM108" s="22">
        <f>IF($A108="","",IF(AU108=0,"対象外",IF(AV108=AU108,"移管",IF(AV108+AW108&gt;0,"一部",IF(AX108&gt;0,"判定保留",IF(AY108&gt;0,"留保","対象外"))))))</f>
        <v/>
      </c>
      <c r="AN108" s="22">
        <f>IF($A108="","",IF((AO108+AS108+AT108)=0,"対象外",IF(AP108=(AO108+AS108+AT108),"移管",IF(AP108&gt;0,"一部",IF(AR108+AT108&gt;0,"判定保留",IF(AQ108+AS108&gt;0,"留保","対象外"))))))</f>
        <v/>
      </c>
      <c r="AO108" s="22">
        <f>IF($A108="","",SUMPRODUCT((COUNTIFS('紐付け'!$A$4:$A$200,$A108,'紐付け'!$C$4:$C$200,'業務'!$C$4:$C$200)&gt;0)*('業務'!$A$4:$A$200&lt;&gt;"")))</f>
        <v/>
      </c>
      <c r="AP108" s="22">
        <f>IF($A108="","",SUMPRODUCT((COUNTIFS('紐付け'!$A$4:$A$200,$A108,'紐付け'!$C$4:$C$200,'業務'!$C$4:$C$200)&gt;0)*('業務'!$A$4:$A$200&lt;&gt;"")*('業務'!$P$4:$P$200="移管")))</f>
        <v/>
      </c>
      <c r="AQ108" s="22">
        <f>IF($A108="","",SUMPRODUCT((COUNTIFS('紐付け'!$A$4:$A$200,$A108,'紐付け'!$C$4:$C$200,'業務'!$C$4:$C$200)&gt;0)*('業務'!$A$4:$A$200&lt;&gt;"")*('業務'!$P$4:$P$200="留保")))</f>
        <v/>
      </c>
      <c r="AR108" s="22">
        <f>IF($A108="","",AO108-AP108-AQ108)</f>
        <v/>
      </c>
      <c r="AS108" s="22">
        <f>IF($A108="","",SUMPRODUCT(('紐付け'!$A$4:$A$200=$A108)*('紐付け'!$C$4:$C$200&lt;&gt;"")*(COUNTIF('業務'!$C$4:$C$200,'紐付け'!$C$4:$C$200)=0)*(COUNTIFS('システム'!$A$4:$A$200,'紐付け'!$C$4:$C$200,'システム'!$N$4:$N$200,"留保")&gt;0)))</f>
        <v/>
      </c>
      <c r="AT108" s="22">
        <f>IF($A108="","",SUMPRODUCT(('紐付け'!$A$4:$A$200=$A108)*('紐付け'!$C$4:$C$200&lt;&gt;"")*(COUNTIF('業務'!$C$4:$C$200,'紐付け'!$C$4:$C$200)=0))-AS108)</f>
        <v/>
      </c>
      <c r="AU108" s="22">
        <f>IF($A108="","",COUNTIF('契約'!$C$4:$C$200,$A108))</f>
        <v/>
      </c>
      <c r="AV108" s="22">
        <f>IF($A108="","",COUNTIFS('契約'!$C$4:$C$200,$A108,'契約'!$O$4:$O$200,"移管"))</f>
        <v/>
      </c>
      <c r="AW108" s="22">
        <f>IF($A108="","",COUNTIFS('契約'!$C$4:$C$200,$A108,'契約'!$O$4:$O$200,"一部"))</f>
        <v/>
      </c>
      <c r="AX108" s="22">
        <f>IF($A108="","",COUNTIFS('契約'!$C$4:$C$200,$A108,'契約'!$O$4:$O$200,"判定保留"))</f>
        <v/>
      </c>
      <c r="AY108" s="22">
        <f>IF($A108="","",COUNTIFS('契約'!$C$4:$C$200,$A108,'契約'!$O$4:$O$200,"留保"))</f>
        <v/>
      </c>
    </row>
    <row r="109">
      <c r="A109" s="17" t="n"/>
      <c r="B109" s="17" t="n"/>
      <c r="C109" s="17" t="n"/>
      <c r="D109" s="17" t="n"/>
      <c r="E109" s="17" t="n"/>
      <c r="F109" s="17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9">
        <f>IF(COUNT(G109:R109)=0,"",SUM(G109:R109))</f>
        <v/>
      </c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9">
        <f>IF(COUNT(T109:AE109)=0,"",SUM(T109:AE109))</f>
        <v/>
      </c>
      <c r="AG109" s="17" t="n"/>
      <c r="AH109" s="17" t="n"/>
      <c r="AI109" s="17" t="n"/>
      <c r="AJ109" s="17" t="n"/>
      <c r="AK109" s="17" t="n"/>
      <c r="AL109" s="22">
        <f>IF($A109="","",IF(OR(AM109="移管",AN109="移管"),"移管",IF(OR(AM109="一部",AN109="一部"),"一部",IF(OR(AM109="判定保留",AN109="判定保留"),"判定保留",IF(OR(AM109="留保",AN109="留保"),"留保","対象外")))))</f>
        <v/>
      </c>
      <c r="AM109" s="22">
        <f>IF($A109="","",IF(AU109=0,"対象外",IF(AV109=AU109,"移管",IF(AV109+AW109&gt;0,"一部",IF(AX109&gt;0,"判定保留",IF(AY109&gt;0,"留保","対象外"))))))</f>
        <v/>
      </c>
      <c r="AN109" s="22">
        <f>IF($A109="","",IF((AO109+AS109+AT109)=0,"対象外",IF(AP109=(AO109+AS109+AT109),"移管",IF(AP109&gt;0,"一部",IF(AR109+AT109&gt;0,"判定保留",IF(AQ109+AS109&gt;0,"留保","対象外"))))))</f>
        <v/>
      </c>
      <c r="AO109" s="22">
        <f>IF($A109="","",SUMPRODUCT((COUNTIFS('紐付け'!$A$4:$A$200,$A109,'紐付け'!$C$4:$C$200,'業務'!$C$4:$C$200)&gt;0)*('業務'!$A$4:$A$200&lt;&gt;"")))</f>
        <v/>
      </c>
      <c r="AP109" s="22">
        <f>IF($A109="","",SUMPRODUCT((COUNTIFS('紐付け'!$A$4:$A$200,$A109,'紐付け'!$C$4:$C$200,'業務'!$C$4:$C$200)&gt;0)*('業務'!$A$4:$A$200&lt;&gt;"")*('業務'!$P$4:$P$200="移管")))</f>
        <v/>
      </c>
      <c r="AQ109" s="22">
        <f>IF($A109="","",SUMPRODUCT((COUNTIFS('紐付け'!$A$4:$A$200,$A109,'紐付け'!$C$4:$C$200,'業務'!$C$4:$C$200)&gt;0)*('業務'!$A$4:$A$200&lt;&gt;"")*('業務'!$P$4:$P$200="留保")))</f>
        <v/>
      </c>
      <c r="AR109" s="22">
        <f>IF($A109="","",AO109-AP109-AQ109)</f>
        <v/>
      </c>
      <c r="AS109" s="22">
        <f>IF($A109="","",SUMPRODUCT(('紐付け'!$A$4:$A$200=$A109)*('紐付け'!$C$4:$C$200&lt;&gt;"")*(COUNTIF('業務'!$C$4:$C$200,'紐付け'!$C$4:$C$200)=0)*(COUNTIFS('システム'!$A$4:$A$200,'紐付け'!$C$4:$C$200,'システム'!$N$4:$N$200,"留保")&gt;0)))</f>
        <v/>
      </c>
      <c r="AT109" s="22">
        <f>IF($A109="","",SUMPRODUCT(('紐付け'!$A$4:$A$200=$A109)*('紐付け'!$C$4:$C$200&lt;&gt;"")*(COUNTIF('業務'!$C$4:$C$200,'紐付け'!$C$4:$C$200)=0))-AS109)</f>
        <v/>
      </c>
      <c r="AU109" s="22">
        <f>IF($A109="","",COUNTIF('契約'!$C$4:$C$200,$A109))</f>
        <v/>
      </c>
      <c r="AV109" s="22">
        <f>IF($A109="","",COUNTIFS('契約'!$C$4:$C$200,$A109,'契約'!$O$4:$O$200,"移管"))</f>
        <v/>
      </c>
      <c r="AW109" s="22">
        <f>IF($A109="","",COUNTIFS('契約'!$C$4:$C$200,$A109,'契約'!$O$4:$O$200,"一部"))</f>
        <v/>
      </c>
      <c r="AX109" s="22">
        <f>IF($A109="","",COUNTIFS('契約'!$C$4:$C$200,$A109,'契約'!$O$4:$O$200,"判定保留"))</f>
        <v/>
      </c>
      <c r="AY109" s="22">
        <f>IF($A109="","",COUNTIFS('契約'!$C$4:$C$200,$A109,'契約'!$O$4:$O$200,"留保"))</f>
        <v/>
      </c>
    </row>
    <row r="110">
      <c r="A110" s="17" t="n"/>
      <c r="B110" s="17" t="n"/>
      <c r="C110" s="17" t="n"/>
      <c r="D110" s="17" t="n"/>
      <c r="E110" s="17" t="n"/>
      <c r="F110" s="17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9">
        <f>IF(COUNT(G110:R110)=0,"",SUM(G110:R110))</f>
        <v/>
      </c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9">
        <f>IF(COUNT(T110:AE110)=0,"",SUM(T110:AE110))</f>
        <v/>
      </c>
      <c r="AG110" s="17" t="n"/>
      <c r="AH110" s="17" t="n"/>
      <c r="AI110" s="17" t="n"/>
      <c r="AJ110" s="17" t="n"/>
      <c r="AK110" s="17" t="n"/>
      <c r="AL110" s="22">
        <f>IF($A110="","",IF(OR(AM110="移管",AN110="移管"),"移管",IF(OR(AM110="一部",AN110="一部"),"一部",IF(OR(AM110="判定保留",AN110="判定保留"),"判定保留",IF(OR(AM110="留保",AN110="留保"),"留保","対象外")))))</f>
        <v/>
      </c>
      <c r="AM110" s="22">
        <f>IF($A110="","",IF(AU110=0,"対象外",IF(AV110=AU110,"移管",IF(AV110+AW110&gt;0,"一部",IF(AX110&gt;0,"判定保留",IF(AY110&gt;0,"留保","対象外"))))))</f>
        <v/>
      </c>
      <c r="AN110" s="22">
        <f>IF($A110="","",IF((AO110+AS110+AT110)=0,"対象外",IF(AP110=(AO110+AS110+AT110),"移管",IF(AP110&gt;0,"一部",IF(AR110+AT110&gt;0,"判定保留",IF(AQ110+AS110&gt;0,"留保","対象外"))))))</f>
        <v/>
      </c>
      <c r="AO110" s="22">
        <f>IF($A110="","",SUMPRODUCT((COUNTIFS('紐付け'!$A$4:$A$200,$A110,'紐付け'!$C$4:$C$200,'業務'!$C$4:$C$200)&gt;0)*('業務'!$A$4:$A$200&lt;&gt;"")))</f>
        <v/>
      </c>
      <c r="AP110" s="22">
        <f>IF($A110="","",SUMPRODUCT((COUNTIFS('紐付け'!$A$4:$A$200,$A110,'紐付け'!$C$4:$C$200,'業務'!$C$4:$C$200)&gt;0)*('業務'!$A$4:$A$200&lt;&gt;"")*('業務'!$P$4:$P$200="移管")))</f>
        <v/>
      </c>
      <c r="AQ110" s="22">
        <f>IF($A110="","",SUMPRODUCT((COUNTIFS('紐付け'!$A$4:$A$200,$A110,'紐付け'!$C$4:$C$200,'業務'!$C$4:$C$200)&gt;0)*('業務'!$A$4:$A$200&lt;&gt;"")*('業務'!$P$4:$P$200="留保")))</f>
        <v/>
      </c>
      <c r="AR110" s="22">
        <f>IF($A110="","",AO110-AP110-AQ110)</f>
        <v/>
      </c>
      <c r="AS110" s="22">
        <f>IF($A110="","",SUMPRODUCT(('紐付け'!$A$4:$A$200=$A110)*('紐付け'!$C$4:$C$200&lt;&gt;"")*(COUNTIF('業務'!$C$4:$C$200,'紐付け'!$C$4:$C$200)=0)*(COUNTIFS('システム'!$A$4:$A$200,'紐付け'!$C$4:$C$200,'システム'!$N$4:$N$200,"留保")&gt;0)))</f>
        <v/>
      </c>
      <c r="AT110" s="22">
        <f>IF($A110="","",SUMPRODUCT(('紐付け'!$A$4:$A$200=$A110)*('紐付け'!$C$4:$C$200&lt;&gt;"")*(COUNTIF('業務'!$C$4:$C$200,'紐付け'!$C$4:$C$200)=0))-AS110)</f>
        <v/>
      </c>
      <c r="AU110" s="22">
        <f>IF($A110="","",COUNTIF('契約'!$C$4:$C$200,$A110))</f>
        <v/>
      </c>
      <c r="AV110" s="22">
        <f>IF($A110="","",COUNTIFS('契約'!$C$4:$C$200,$A110,'契約'!$O$4:$O$200,"移管"))</f>
        <v/>
      </c>
      <c r="AW110" s="22">
        <f>IF($A110="","",COUNTIFS('契約'!$C$4:$C$200,$A110,'契約'!$O$4:$O$200,"一部"))</f>
        <v/>
      </c>
      <c r="AX110" s="22">
        <f>IF($A110="","",COUNTIFS('契約'!$C$4:$C$200,$A110,'契約'!$O$4:$O$200,"判定保留"))</f>
        <v/>
      </c>
      <c r="AY110" s="22">
        <f>IF($A110="","",COUNTIFS('契約'!$C$4:$C$200,$A110,'契約'!$O$4:$O$200,"留保"))</f>
        <v/>
      </c>
    </row>
    <row r="111">
      <c r="A111" s="17" t="n"/>
      <c r="B111" s="17" t="n"/>
      <c r="C111" s="17" t="n"/>
      <c r="D111" s="17" t="n"/>
      <c r="E111" s="17" t="n"/>
      <c r="F111" s="17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9">
        <f>IF(COUNT(G111:R111)=0,"",SUM(G111:R111))</f>
        <v/>
      </c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9">
        <f>IF(COUNT(T111:AE111)=0,"",SUM(T111:AE111))</f>
        <v/>
      </c>
      <c r="AG111" s="17" t="n"/>
      <c r="AH111" s="17" t="n"/>
      <c r="AI111" s="17" t="n"/>
      <c r="AJ111" s="17" t="n"/>
      <c r="AK111" s="17" t="n"/>
      <c r="AL111" s="22">
        <f>IF($A111="","",IF(OR(AM111="移管",AN111="移管"),"移管",IF(OR(AM111="一部",AN111="一部"),"一部",IF(OR(AM111="判定保留",AN111="判定保留"),"判定保留",IF(OR(AM111="留保",AN111="留保"),"留保","対象外")))))</f>
        <v/>
      </c>
      <c r="AM111" s="22">
        <f>IF($A111="","",IF(AU111=0,"対象外",IF(AV111=AU111,"移管",IF(AV111+AW111&gt;0,"一部",IF(AX111&gt;0,"判定保留",IF(AY111&gt;0,"留保","対象外"))))))</f>
        <v/>
      </c>
      <c r="AN111" s="22">
        <f>IF($A111="","",IF((AO111+AS111+AT111)=0,"対象外",IF(AP111=(AO111+AS111+AT111),"移管",IF(AP111&gt;0,"一部",IF(AR111+AT111&gt;0,"判定保留",IF(AQ111+AS111&gt;0,"留保","対象外"))))))</f>
        <v/>
      </c>
      <c r="AO111" s="22">
        <f>IF($A111="","",SUMPRODUCT((COUNTIFS('紐付け'!$A$4:$A$200,$A111,'紐付け'!$C$4:$C$200,'業務'!$C$4:$C$200)&gt;0)*('業務'!$A$4:$A$200&lt;&gt;"")))</f>
        <v/>
      </c>
      <c r="AP111" s="22">
        <f>IF($A111="","",SUMPRODUCT((COUNTIFS('紐付け'!$A$4:$A$200,$A111,'紐付け'!$C$4:$C$200,'業務'!$C$4:$C$200)&gt;0)*('業務'!$A$4:$A$200&lt;&gt;"")*('業務'!$P$4:$P$200="移管")))</f>
        <v/>
      </c>
      <c r="AQ111" s="22">
        <f>IF($A111="","",SUMPRODUCT((COUNTIFS('紐付け'!$A$4:$A$200,$A111,'紐付け'!$C$4:$C$200,'業務'!$C$4:$C$200)&gt;0)*('業務'!$A$4:$A$200&lt;&gt;"")*('業務'!$P$4:$P$200="留保")))</f>
        <v/>
      </c>
      <c r="AR111" s="22">
        <f>IF($A111="","",AO111-AP111-AQ111)</f>
        <v/>
      </c>
      <c r="AS111" s="22">
        <f>IF($A111="","",SUMPRODUCT(('紐付け'!$A$4:$A$200=$A111)*('紐付け'!$C$4:$C$200&lt;&gt;"")*(COUNTIF('業務'!$C$4:$C$200,'紐付け'!$C$4:$C$200)=0)*(COUNTIFS('システム'!$A$4:$A$200,'紐付け'!$C$4:$C$200,'システム'!$N$4:$N$200,"留保")&gt;0)))</f>
        <v/>
      </c>
      <c r="AT111" s="22">
        <f>IF($A111="","",SUMPRODUCT(('紐付け'!$A$4:$A$200=$A111)*('紐付け'!$C$4:$C$200&lt;&gt;"")*(COUNTIF('業務'!$C$4:$C$200,'紐付け'!$C$4:$C$200)=0))-AS111)</f>
        <v/>
      </c>
      <c r="AU111" s="22">
        <f>IF($A111="","",COUNTIF('契約'!$C$4:$C$200,$A111))</f>
        <v/>
      </c>
      <c r="AV111" s="22">
        <f>IF($A111="","",COUNTIFS('契約'!$C$4:$C$200,$A111,'契約'!$O$4:$O$200,"移管"))</f>
        <v/>
      </c>
      <c r="AW111" s="22">
        <f>IF($A111="","",COUNTIFS('契約'!$C$4:$C$200,$A111,'契約'!$O$4:$O$200,"一部"))</f>
        <v/>
      </c>
      <c r="AX111" s="22">
        <f>IF($A111="","",COUNTIFS('契約'!$C$4:$C$200,$A111,'契約'!$O$4:$O$200,"判定保留"))</f>
        <v/>
      </c>
      <c r="AY111" s="22">
        <f>IF($A111="","",COUNTIFS('契約'!$C$4:$C$200,$A111,'契約'!$O$4:$O$200,"留保"))</f>
        <v/>
      </c>
    </row>
    <row r="112">
      <c r="A112" s="17" t="n"/>
      <c r="B112" s="17" t="n"/>
      <c r="C112" s="17" t="n"/>
      <c r="D112" s="17" t="n"/>
      <c r="E112" s="17" t="n"/>
      <c r="F112" s="17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9">
        <f>IF(COUNT(G112:R112)=0,"",SUM(G112:R112))</f>
        <v/>
      </c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9">
        <f>IF(COUNT(T112:AE112)=0,"",SUM(T112:AE112))</f>
        <v/>
      </c>
      <c r="AG112" s="17" t="n"/>
      <c r="AH112" s="17" t="n"/>
      <c r="AI112" s="17" t="n"/>
      <c r="AJ112" s="17" t="n"/>
      <c r="AK112" s="17" t="n"/>
      <c r="AL112" s="22">
        <f>IF($A112="","",IF(OR(AM112="移管",AN112="移管"),"移管",IF(OR(AM112="一部",AN112="一部"),"一部",IF(OR(AM112="判定保留",AN112="判定保留"),"判定保留",IF(OR(AM112="留保",AN112="留保"),"留保","対象外")))))</f>
        <v/>
      </c>
      <c r="AM112" s="22">
        <f>IF($A112="","",IF(AU112=0,"対象外",IF(AV112=AU112,"移管",IF(AV112+AW112&gt;0,"一部",IF(AX112&gt;0,"判定保留",IF(AY112&gt;0,"留保","対象外"))))))</f>
        <v/>
      </c>
      <c r="AN112" s="22">
        <f>IF($A112="","",IF((AO112+AS112+AT112)=0,"対象外",IF(AP112=(AO112+AS112+AT112),"移管",IF(AP112&gt;0,"一部",IF(AR112+AT112&gt;0,"判定保留",IF(AQ112+AS112&gt;0,"留保","対象外"))))))</f>
        <v/>
      </c>
      <c r="AO112" s="22">
        <f>IF($A112="","",SUMPRODUCT((COUNTIFS('紐付け'!$A$4:$A$200,$A112,'紐付け'!$C$4:$C$200,'業務'!$C$4:$C$200)&gt;0)*('業務'!$A$4:$A$200&lt;&gt;"")))</f>
        <v/>
      </c>
      <c r="AP112" s="22">
        <f>IF($A112="","",SUMPRODUCT((COUNTIFS('紐付け'!$A$4:$A$200,$A112,'紐付け'!$C$4:$C$200,'業務'!$C$4:$C$200)&gt;0)*('業務'!$A$4:$A$200&lt;&gt;"")*('業務'!$P$4:$P$200="移管")))</f>
        <v/>
      </c>
      <c r="AQ112" s="22">
        <f>IF($A112="","",SUMPRODUCT((COUNTIFS('紐付け'!$A$4:$A$200,$A112,'紐付け'!$C$4:$C$200,'業務'!$C$4:$C$200)&gt;0)*('業務'!$A$4:$A$200&lt;&gt;"")*('業務'!$P$4:$P$200="留保")))</f>
        <v/>
      </c>
      <c r="AR112" s="22">
        <f>IF($A112="","",AO112-AP112-AQ112)</f>
        <v/>
      </c>
      <c r="AS112" s="22">
        <f>IF($A112="","",SUMPRODUCT(('紐付け'!$A$4:$A$200=$A112)*('紐付け'!$C$4:$C$200&lt;&gt;"")*(COUNTIF('業務'!$C$4:$C$200,'紐付け'!$C$4:$C$200)=0)*(COUNTIFS('システム'!$A$4:$A$200,'紐付け'!$C$4:$C$200,'システム'!$N$4:$N$200,"留保")&gt;0)))</f>
        <v/>
      </c>
      <c r="AT112" s="22">
        <f>IF($A112="","",SUMPRODUCT(('紐付け'!$A$4:$A$200=$A112)*('紐付け'!$C$4:$C$200&lt;&gt;"")*(COUNTIF('業務'!$C$4:$C$200,'紐付け'!$C$4:$C$200)=0))-AS112)</f>
        <v/>
      </c>
      <c r="AU112" s="22">
        <f>IF($A112="","",COUNTIF('契約'!$C$4:$C$200,$A112))</f>
        <v/>
      </c>
      <c r="AV112" s="22">
        <f>IF($A112="","",COUNTIFS('契約'!$C$4:$C$200,$A112,'契約'!$O$4:$O$200,"移管"))</f>
        <v/>
      </c>
      <c r="AW112" s="22">
        <f>IF($A112="","",COUNTIFS('契約'!$C$4:$C$200,$A112,'契約'!$O$4:$O$200,"一部"))</f>
        <v/>
      </c>
      <c r="AX112" s="22">
        <f>IF($A112="","",COUNTIFS('契約'!$C$4:$C$200,$A112,'契約'!$O$4:$O$200,"判定保留"))</f>
        <v/>
      </c>
      <c r="AY112" s="22">
        <f>IF($A112="","",COUNTIFS('契約'!$C$4:$C$200,$A112,'契約'!$O$4:$O$200,"留保"))</f>
        <v/>
      </c>
    </row>
    <row r="113">
      <c r="A113" s="17" t="n"/>
      <c r="B113" s="17" t="n"/>
      <c r="C113" s="17" t="n"/>
      <c r="D113" s="17" t="n"/>
      <c r="E113" s="17" t="n"/>
      <c r="F113" s="17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9">
        <f>IF(COUNT(G113:R113)=0,"",SUM(G113:R113))</f>
        <v/>
      </c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9">
        <f>IF(COUNT(T113:AE113)=0,"",SUM(T113:AE113))</f>
        <v/>
      </c>
      <c r="AG113" s="17" t="n"/>
      <c r="AH113" s="17" t="n"/>
      <c r="AI113" s="17" t="n"/>
      <c r="AJ113" s="17" t="n"/>
      <c r="AK113" s="17" t="n"/>
      <c r="AL113" s="22">
        <f>IF($A113="","",IF(OR(AM113="移管",AN113="移管"),"移管",IF(OR(AM113="一部",AN113="一部"),"一部",IF(OR(AM113="判定保留",AN113="判定保留"),"判定保留",IF(OR(AM113="留保",AN113="留保"),"留保","対象外")))))</f>
        <v/>
      </c>
      <c r="AM113" s="22">
        <f>IF($A113="","",IF(AU113=0,"対象外",IF(AV113=AU113,"移管",IF(AV113+AW113&gt;0,"一部",IF(AX113&gt;0,"判定保留",IF(AY113&gt;0,"留保","対象外"))))))</f>
        <v/>
      </c>
      <c r="AN113" s="22">
        <f>IF($A113="","",IF((AO113+AS113+AT113)=0,"対象外",IF(AP113=(AO113+AS113+AT113),"移管",IF(AP113&gt;0,"一部",IF(AR113+AT113&gt;0,"判定保留",IF(AQ113+AS113&gt;0,"留保","対象外"))))))</f>
        <v/>
      </c>
      <c r="AO113" s="22">
        <f>IF($A113="","",SUMPRODUCT((COUNTIFS('紐付け'!$A$4:$A$200,$A113,'紐付け'!$C$4:$C$200,'業務'!$C$4:$C$200)&gt;0)*('業務'!$A$4:$A$200&lt;&gt;"")))</f>
        <v/>
      </c>
      <c r="AP113" s="22">
        <f>IF($A113="","",SUMPRODUCT((COUNTIFS('紐付け'!$A$4:$A$200,$A113,'紐付け'!$C$4:$C$200,'業務'!$C$4:$C$200)&gt;0)*('業務'!$A$4:$A$200&lt;&gt;"")*('業務'!$P$4:$P$200="移管")))</f>
        <v/>
      </c>
      <c r="AQ113" s="22">
        <f>IF($A113="","",SUMPRODUCT((COUNTIFS('紐付け'!$A$4:$A$200,$A113,'紐付け'!$C$4:$C$200,'業務'!$C$4:$C$200)&gt;0)*('業務'!$A$4:$A$200&lt;&gt;"")*('業務'!$P$4:$P$200="留保")))</f>
        <v/>
      </c>
      <c r="AR113" s="22">
        <f>IF($A113="","",AO113-AP113-AQ113)</f>
        <v/>
      </c>
      <c r="AS113" s="22">
        <f>IF($A113="","",SUMPRODUCT(('紐付け'!$A$4:$A$200=$A113)*('紐付け'!$C$4:$C$200&lt;&gt;"")*(COUNTIF('業務'!$C$4:$C$200,'紐付け'!$C$4:$C$200)=0)*(COUNTIFS('システム'!$A$4:$A$200,'紐付け'!$C$4:$C$200,'システム'!$N$4:$N$200,"留保")&gt;0)))</f>
        <v/>
      </c>
      <c r="AT113" s="22">
        <f>IF($A113="","",SUMPRODUCT(('紐付け'!$A$4:$A$200=$A113)*('紐付け'!$C$4:$C$200&lt;&gt;"")*(COUNTIF('業務'!$C$4:$C$200,'紐付け'!$C$4:$C$200)=0))-AS113)</f>
        <v/>
      </c>
      <c r="AU113" s="22">
        <f>IF($A113="","",COUNTIF('契約'!$C$4:$C$200,$A113))</f>
        <v/>
      </c>
      <c r="AV113" s="22">
        <f>IF($A113="","",COUNTIFS('契約'!$C$4:$C$200,$A113,'契約'!$O$4:$O$200,"移管"))</f>
        <v/>
      </c>
      <c r="AW113" s="22">
        <f>IF($A113="","",COUNTIFS('契約'!$C$4:$C$200,$A113,'契約'!$O$4:$O$200,"一部"))</f>
        <v/>
      </c>
      <c r="AX113" s="22">
        <f>IF($A113="","",COUNTIFS('契約'!$C$4:$C$200,$A113,'契約'!$O$4:$O$200,"判定保留"))</f>
        <v/>
      </c>
      <c r="AY113" s="22">
        <f>IF($A113="","",COUNTIFS('契約'!$C$4:$C$200,$A113,'契約'!$O$4:$O$200,"留保"))</f>
        <v/>
      </c>
    </row>
    <row r="114">
      <c r="A114" s="17" t="n"/>
      <c r="B114" s="17" t="n"/>
      <c r="C114" s="17" t="n"/>
      <c r="D114" s="17" t="n"/>
      <c r="E114" s="17" t="n"/>
      <c r="F114" s="17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9">
        <f>IF(COUNT(G114:R114)=0,"",SUM(G114:R114))</f>
        <v/>
      </c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9">
        <f>IF(COUNT(T114:AE114)=0,"",SUM(T114:AE114))</f>
        <v/>
      </c>
      <c r="AG114" s="17" t="n"/>
      <c r="AH114" s="17" t="n"/>
      <c r="AI114" s="17" t="n"/>
      <c r="AJ114" s="17" t="n"/>
      <c r="AK114" s="17" t="n"/>
      <c r="AL114" s="22">
        <f>IF($A114="","",IF(OR(AM114="移管",AN114="移管"),"移管",IF(OR(AM114="一部",AN114="一部"),"一部",IF(OR(AM114="判定保留",AN114="判定保留"),"判定保留",IF(OR(AM114="留保",AN114="留保"),"留保","対象外")))))</f>
        <v/>
      </c>
      <c r="AM114" s="22">
        <f>IF($A114="","",IF(AU114=0,"対象外",IF(AV114=AU114,"移管",IF(AV114+AW114&gt;0,"一部",IF(AX114&gt;0,"判定保留",IF(AY114&gt;0,"留保","対象外"))))))</f>
        <v/>
      </c>
      <c r="AN114" s="22">
        <f>IF($A114="","",IF((AO114+AS114+AT114)=0,"対象外",IF(AP114=(AO114+AS114+AT114),"移管",IF(AP114&gt;0,"一部",IF(AR114+AT114&gt;0,"判定保留",IF(AQ114+AS114&gt;0,"留保","対象外"))))))</f>
        <v/>
      </c>
      <c r="AO114" s="22">
        <f>IF($A114="","",SUMPRODUCT((COUNTIFS('紐付け'!$A$4:$A$200,$A114,'紐付け'!$C$4:$C$200,'業務'!$C$4:$C$200)&gt;0)*('業務'!$A$4:$A$200&lt;&gt;"")))</f>
        <v/>
      </c>
      <c r="AP114" s="22">
        <f>IF($A114="","",SUMPRODUCT((COUNTIFS('紐付け'!$A$4:$A$200,$A114,'紐付け'!$C$4:$C$200,'業務'!$C$4:$C$200)&gt;0)*('業務'!$A$4:$A$200&lt;&gt;"")*('業務'!$P$4:$P$200="移管")))</f>
        <v/>
      </c>
      <c r="AQ114" s="22">
        <f>IF($A114="","",SUMPRODUCT((COUNTIFS('紐付け'!$A$4:$A$200,$A114,'紐付け'!$C$4:$C$200,'業務'!$C$4:$C$200)&gt;0)*('業務'!$A$4:$A$200&lt;&gt;"")*('業務'!$P$4:$P$200="留保")))</f>
        <v/>
      </c>
      <c r="AR114" s="22">
        <f>IF($A114="","",AO114-AP114-AQ114)</f>
        <v/>
      </c>
      <c r="AS114" s="22">
        <f>IF($A114="","",SUMPRODUCT(('紐付け'!$A$4:$A$200=$A114)*('紐付け'!$C$4:$C$200&lt;&gt;"")*(COUNTIF('業務'!$C$4:$C$200,'紐付け'!$C$4:$C$200)=0)*(COUNTIFS('システム'!$A$4:$A$200,'紐付け'!$C$4:$C$200,'システム'!$N$4:$N$200,"留保")&gt;0)))</f>
        <v/>
      </c>
      <c r="AT114" s="22">
        <f>IF($A114="","",SUMPRODUCT(('紐付け'!$A$4:$A$200=$A114)*('紐付け'!$C$4:$C$200&lt;&gt;"")*(COUNTIF('業務'!$C$4:$C$200,'紐付け'!$C$4:$C$200)=0))-AS114)</f>
        <v/>
      </c>
      <c r="AU114" s="22">
        <f>IF($A114="","",COUNTIF('契約'!$C$4:$C$200,$A114))</f>
        <v/>
      </c>
      <c r="AV114" s="22">
        <f>IF($A114="","",COUNTIFS('契約'!$C$4:$C$200,$A114,'契約'!$O$4:$O$200,"移管"))</f>
        <v/>
      </c>
      <c r="AW114" s="22">
        <f>IF($A114="","",COUNTIFS('契約'!$C$4:$C$200,$A114,'契約'!$O$4:$O$200,"一部"))</f>
        <v/>
      </c>
      <c r="AX114" s="22">
        <f>IF($A114="","",COUNTIFS('契約'!$C$4:$C$200,$A114,'契約'!$O$4:$O$200,"判定保留"))</f>
        <v/>
      </c>
      <c r="AY114" s="22">
        <f>IF($A114="","",COUNTIFS('契約'!$C$4:$C$200,$A114,'契約'!$O$4:$O$200,"留保"))</f>
        <v/>
      </c>
    </row>
    <row r="115">
      <c r="A115" s="17" t="n"/>
      <c r="B115" s="17" t="n"/>
      <c r="C115" s="17" t="n"/>
      <c r="D115" s="17" t="n"/>
      <c r="E115" s="17" t="n"/>
      <c r="F115" s="17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9">
        <f>IF(COUNT(G115:R115)=0,"",SUM(G115:R115))</f>
        <v/>
      </c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9">
        <f>IF(COUNT(T115:AE115)=0,"",SUM(T115:AE115))</f>
        <v/>
      </c>
      <c r="AG115" s="17" t="n"/>
      <c r="AH115" s="17" t="n"/>
      <c r="AI115" s="17" t="n"/>
      <c r="AJ115" s="17" t="n"/>
      <c r="AK115" s="17" t="n"/>
      <c r="AL115" s="22">
        <f>IF($A115="","",IF(OR(AM115="移管",AN115="移管"),"移管",IF(OR(AM115="一部",AN115="一部"),"一部",IF(OR(AM115="判定保留",AN115="判定保留"),"判定保留",IF(OR(AM115="留保",AN115="留保"),"留保","対象外")))))</f>
        <v/>
      </c>
      <c r="AM115" s="22">
        <f>IF($A115="","",IF(AU115=0,"対象外",IF(AV115=AU115,"移管",IF(AV115+AW115&gt;0,"一部",IF(AX115&gt;0,"判定保留",IF(AY115&gt;0,"留保","対象外"))))))</f>
        <v/>
      </c>
      <c r="AN115" s="22">
        <f>IF($A115="","",IF((AO115+AS115+AT115)=0,"対象外",IF(AP115=(AO115+AS115+AT115),"移管",IF(AP115&gt;0,"一部",IF(AR115+AT115&gt;0,"判定保留",IF(AQ115+AS115&gt;0,"留保","対象外"))))))</f>
        <v/>
      </c>
      <c r="AO115" s="22">
        <f>IF($A115="","",SUMPRODUCT((COUNTIFS('紐付け'!$A$4:$A$200,$A115,'紐付け'!$C$4:$C$200,'業務'!$C$4:$C$200)&gt;0)*('業務'!$A$4:$A$200&lt;&gt;"")))</f>
        <v/>
      </c>
      <c r="AP115" s="22">
        <f>IF($A115="","",SUMPRODUCT((COUNTIFS('紐付け'!$A$4:$A$200,$A115,'紐付け'!$C$4:$C$200,'業務'!$C$4:$C$200)&gt;0)*('業務'!$A$4:$A$200&lt;&gt;"")*('業務'!$P$4:$P$200="移管")))</f>
        <v/>
      </c>
      <c r="AQ115" s="22">
        <f>IF($A115="","",SUMPRODUCT((COUNTIFS('紐付け'!$A$4:$A$200,$A115,'紐付け'!$C$4:$C$200,'業務'!$C$4:$C$200)&gt;0)*('業務'!$A$4:$A$200&lt;&gt;"")*('業務'!$P$4:$P$200="留保")))</f>
        <v/>
      </c>
      <c r="AR115" s="22">
        <f>IF($A115="","",AO115-AP115-AQ115)</f>
        <v/>
      </c>
      <c r="AS115" s="22">
        <f>IF($A115="","",SUMPRODUCT(('紐付け'!$A$4:$A$200=$A115)*('紐付け'!$C$4:$C$200&lt;&gt;"")*(COUNTIF('業務'!$C$4:$C$200,'紐付け'!$C$4:$C$200)=0)*(COUNTIFS('システム'!$A$4:$A$200,'紐付け'!$C$4:$C$200,'システム'!$N$4:$N$200,"留保")&gt;0)))</f>
        <v/>
      </c>
      <c r="AT115" s="22">
        <f>IF($A115="","",SUMPRODUCT(('紐付け'!$A$4:$A$200=$A115)*('紐付け'!$C$4:$C$200&lt;&gt;"")*(COUNTIF('業務'!$C$4:$C$200,'紐付け'!$C$4:$C$200)=0))-AS115)</f>
        <v/>
      </c>
      <c r="AU115" s="22">
        <f>IF($A115="","",COUNTIF('契約'!$C$4:$C$200,$A115))</f>
        <v/>
      </c>
      <c r="AV115" s="22">
        <f>IF($A115="","",COUNTIFS('契約'!$C$4:$C$200,$A115,'契約'!$O$4:$O$200,"移管"))</f>
        <v/>
      </c>
      <c r="AW115" s="22">
        <f>IF($A115="","",COUNTIFS('契約'!$C$4:$C$200,$A115,'契約'!$O$4:$O$200,"一部"))</f>
        <v/>
      </c>
      <c r="AX115" s="22">
        <f>IF($A115="","",COUNTIFS('契約'!$C$4:$C$200,$A115,'契約'!$O$4:$O$200,"判定保留"))</f>
        <v/>
      </c>
      <c r="AY115" s="22">
        <f>IF($A115="","",COUNTIFS('契約'!$C$4:$C$200,$A115,'契約'!$O$4:$O$200,"留保"))</f>
        <v/>
      </c>
    </row>
    <row r="116">
      <c r="A116" s="17" t="n"/>
      <c r="B116" s="17" t="n"/>
      <c r="C116" s="17" t="n"/>
      <c r="D116" s="17" t="n"/>
      <c r="E116" s="17" t="n"/>
      <c r="F116" s="17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9">
        <f>IF(COUNT(G116:R116)=0,"",SUM(G116:R116))</f>
        <v/>
      </c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9">
        <f>IF(COUNT(T116:AE116)=0,"",SUM(T116:AE116))</f>
        <v/>
      </c>
      <c r="AG116" s="17" t="n"/>
      <c r="AH116" s="17" t="n"/>
      <c r="AI116" s="17" t="n"/>
      <c r="AJ116" s="17" t="n"/>
      <c r="AK116" s="17" t="n"/>
      <c r="AL116" s="22">
        <f>IF($A116="","",IF(OR(AM116="移管",AN116="移管"),"移管",IF(OR(AM116="一部",AN116="一部"),"一部",IF(OR(AM116="判定保留",AN116="判定保留"),"判定保留",IF(OR(AM116="留保",AN116="留保"),"留保","対象外")))))</f>
        <v/>
      </c>
      <c r="AM116" s="22">
        <f>IF($A116="","",IF(AU116=0,"対象外",IF(AV116=AU116,"移管",IF(AV116+AW116&gt;0,"一部",IF(AX116&gt;0,"判定保留",IF(AY116&gt;0,"留保","対象外"))))))</f>
        <v/>
      </c>
      <c r="AN116" s="22">
        <f>IF($A116="","",IF((AO116+AS116+AT116)=0,"対象外",IF(AP116=(AO116+AS116+AT116),"移管",IF(AP116&gt;0,"一部",IF(AR116+AT116&gt;0,"判定保留",IF(AQ116+AS116&gt;0,"留保","対象外"))))))</f>
        <v/>
      </c>
      <c r="AO116" s="22">
        <f>IF($A116="","",SUMPRODUCT((COUNTIFS('紐付け'!$A$4:$A$200,$A116,'紐付け'!$C$4:$C$200,'業務'!$C$4:$C$200)&gt;0)*('業務'!$A$4:$A$200&lt;&gt;"")))</f>
        <v/>
      </c>
      <c r="AP116" s="22">
        <f>IF($A116="","",SUMPRODUCT((COUNTIFS('紐付け'!$A$4:$A$200,$A116,'紐付け'!$C$4:$C$200,'業務'!$C$4:$C$200)&gt;0)*('業務'!$A$4:$A$200&lt;&gt;"")*('業務'!$P$4:$P$200="移管")))</f>
        <v/>
      </c>
      <c r="AQ116" s="22">
        <f>IF($A116="","",SUMPRODUCT((COUNTIFS('紐付け'!$A$4:$A$200,$A116,'紐付け'!$C$4:$C$200,'業務'!$C$4:$C$200)&gt;0)*('業務'!$A$4:$A$200&lt;&gt;"")*('業務'!$P$4:$P$200="留保")))</f>
        <v/>
      </c>
      <c r="AR116" s="22">
        <f>IF($A116="","",AO116-AP116-AQ116)</f>
        <v/>
      </c>
      <c r="AS116" s="22">
        <f>IF($A116="","",SUMPRODUCT(('紐付け'!$A$4:$A$200=$A116)*('紐付け'!$C$4:$C$200&lt;&gt;"")*(COUNTIF('業務'!$C$4:$C$200,'紐付け'!$C$4:$C$200)=0)*(COUNTIFS('システム'!$A$4:$A$200,'紐付け'!$C$4:$C$200,'システム'!$N$4:$N$200,"留保")&gt;0)))</f>
        <v/>
      </c>
      <c r="AT116" s="22">
        <f>IF($A116="","",SUMPRODUCT(('紐付け'!$A$4:$A$200=$A116)*('紐付け'!$C$4:$C$200&lt;&gt;"")*(COUNTIF('業務'!$C$4:$C$200,'紐付け'!$C$4:$C$200)=0))-AS116)</f>
        <v/>
      </c>
      <c r="AU116" s="22">
        <f>IF($A116="","",COUNTIF('契約'!$C$4:$C$200,$A116))</f>
        <v/>
      </c>
      <c r="AV116" s="22">
        <f>IF($A116="","",COUNTIFS('契約'!$C$4:$C$200,$A116,'契約'!$O$4:$O$200,"移管"))</f>
        <v/>
      </c>
      <c r="AW116" s="22">
        <f>IF($A116="","",COUNTIFS('契約'!$C$4:$C$200,$A116,'契約'!$O$4:$O$200,"一部"))</f>
        <v/>
      </c>
      <c r="AX116" s="22">
        <f>IF($A116="","",COUNTIFS('契約'!$C$4:$C$200,$A116,'契約'!$O$4:$O$200,"判定保留"))</f>
        <v/>
      </c>
      <c r="AY116" s="22">
        <f>IF($A116="","",COUNTIFS('契約'!$C$4:$C$200,$A116,'契約'!$O$4:$O$200,"留保"))</f>
        <v/>
      </c>
    </row>
    <row r="117">
      <c r="A117" s="17" t="n"/>
      <c r="B117" s="17" t="n"/>
      <c r="C117" s="17" t="n"/>
      <c r="D117" s="17" t="n"/>
      <c r="E117" s="17" t="n"/>
      <c r="F117" s="17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9">
        <f>IF(COUNT(G117:R117)=0,"",SUM(G117:R117))</f>
        <v/>
      </c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9">
        <f>IF(COUNT(T117:AE117)=0,"",SUM(T117:AE117))</f>
        <v/>
      </c>
      <c r="AG117" s="17" t="n"/>
      <c r="AH117" s="17" t="n"/>
      <c r="AI117" s="17" t="n"/>
      <c r="AJ117" s="17" t="n"/>
      <c r="AK117" s="17" t="n"/>
      <c r="AL117" s="22">
        <f>IF($A117="","",IF(OR(AM117="移管",AN117="移管"),"移管",IF(OR(AM117="一部",AN117="一部"),"一部",IF(OR(AM117="判定保留",AN117="判定保留"),"判定保留",IF(OR(AM117="留保",AN117="留保"),"留保","対象外")))))</f>
        <v/>
      </c>
      <c r="AM117" s="22">
        <f>IF($A117="","",IF(AU117=0,"対象外",IF(AV117=AU117,"移管",IF(AV117+AW117&gt;0,"一部",IF(AX117&gt;0,"判定保留",IF(AY117&gt;0,"留保","対象外"))))))</f>
        <v/>
      </c>
      <c r="AN117" s="22">
        <f>IF($A117="","",IF((AO117+AS117+AT117)=0,"対象外",IF(AP117=(AO117+AS117+AT117),"移管",IF(AP117&gt;0,"一部",IF(AR117+AT117&gt;0,"判定保留",IF(AQ117+AS117&gt;0,"留保","対象外"))))))</f>
        <v/>
      </c>
      <c r="AO117" s="22">
        <f>IF($A117="","",SUMPRODUCT((COUNTIFS('紐付け'!$A$4:$A$200,$A117,'紐付け'!$C$4:$C$200,'業務'!$C$4:$C$200)&gt;0)*('業務'!$A$4:$A$200&lt;&gt;"")))</f>
        <v/>
      </c>
      <c r="AP117" s="22">
        <f>IF($A117="","",SUMPRODUCT((COUNTIFS('紐付け'!$A$4:$A$200,$A117,'紐付け'!$C$4:$C$200,'業務'!$C$4:$C$200)&gt;0)*('業務'!$A$4:$A$200&lt;&gt;"")*('業務'!$P$4:$P$200="移管")))</f>
        <v/>
      </c>
      <c r="AQ117" s="22">
        <f>IF($A117="","",SUMPRODUCT((COUNTIFS('紐付け'!$A$4:$A$200,$A117,'紐付け'!$C$4:$C$200,'業務'!$C$4:$C$200)&gt;0)*('業務'!$A$4:$A$200&lt;&gt;"")*('業務'!$P$4:$P$200="留保")))</f>
        <v/>
      </c>
      <c r="AR117" s="22">
        <f>IF($A117="","",AO117-AP117-AQ117)</f>
        <v/>
      </c>
      <c r="AS117" s="22">
        <f>IF($A117="","",SUMPRODUCT(('紐付け'!$A$4:$A$200=$A117)*('紐付け'!$C$4:$C$200&lt;&gt;"")*(COUNTIF('業務'!$C$4:$C$200,'紐付け'!$C$4:$C$200)=0)*(COUNTIFS('システム'!$A$4:$A$200,'紐付け'!$C$4:$C$200,'システム'!$N$4:$N$200,"留保")&gt;0)))</f>
        <v/>
      </c>
      <c r="AT117" s="22">
        <f>IF($A117="","",SUMPRODUCT(('紐付け'!$A$4:$A$200=$A117)*('紐付け'!$C$4:$C$200&lt;&gt;"")*(COUNTIF('業務'!$C$4:$C$200,'紐付け'!$C$4:$C$200)=0))-AS117)</f>
        <v/>
      </c>
      <c r="AU117" s="22">
        <f>IF($A117="","",COUNTIF('契約'!$C$4:$C$200,$A117))</f>
        <v/>
      </c>
      <c r="AV117" s="22">
        <f>IF($A117="","",COUNTIFS('契約'!$C$4:$C$200,$A117,'契約'!$O$4:$O$200,"移管"))</f>
        <v/>
      </c>
      <c r="AW117" s="22">
        <f>IF($A117="","",COUNTIFS('契約'!$C$4:$C$200,$A117,'契約'!$O$4:$O$200,"一部"))</f>
        <v/>
      </c>
      <c r="AX117" s="22">
        <f>IF($A117="","",COUNTIFS('契約'!$C$4:$C$200,$A117,'契約'!$O$4:$O$200,"判定保留"))</f>
        <v/>
      </c>
      <c r="AY117" s="22">
        <f>IF($A117="","",COUNTIFS('契約'!$C$4:$C$200,$A117,'契約'!$O$4:$O$200,"留保"))</f>
        <v/>
      </c>
    </row>
    <row r="118">
      <c r="A118" s="17" t="n"/>
      <c r="B118" s="17" t="n"/>
      <c r="C118" s="17" t="n"/>
      <c r="D118" s="17" t="n"/>
      <c r="E118" s="17" t="n"/>
      <c r="F118" s="17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9">
        <f>IF(COUNT(G118:R118)=0,"",SUM(G118:R118))</f>
        <v/>
      </c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9">
        <f>IF(COUNT(T118:AE118)=0,"",SUM(T118:AE118))</f>
        <v/>
      </c>
      <c r="AG118" s="17" t="n"/>
      <c r="AH118" s="17" t="n"/>
      <c r="AI118" s="17" t="n"/>
      <c r="AJ118" s="17" t="n"/>
      <c r="AK118" s="17" t="n"/>
      <c r="AL118" s="22">
        <f>IF($A118="","",IF(OR(AM118="移管",AN118="移管"),"移管",IF(OR(AM118="一部",AN118="一部"),"一部",IF(OR(AM118="判定保留",AN118="判定保留"),"判定保留",IF(OR(AM118="留保",AN118="留保"),"留保","対象外")))))</f>
        <v/>
      </c>
      <c r="AM118" s="22">
        <f>IF($A118="","",IF(AU118=0,"対象外",IF(AV118=AU118,"移管",IF(AV118+AW118&gt;0,"一部",IF(AX118&gt;0,"判定保留",IF(AY118&gt;0,"留保","対象外"))))))</f>
        <v/>
      </c>
      <c r="AN118" s="22">
        <f>IF($A118="","",IF((AO118+AS118+AT118)=0,"対象外",IF(AP118=(AO118+AS118+AT118),"移管",IF(AP118&gt;0,"一部",IF(AR118+AT118&gt;0,"判定保留",IF(AQ118+AS118&gt;0,"留保","対象外"))))))</f>
        <v/>
      </c>
      <c r="AO118" s="22">
        <f>IF($A118="","",SUMPRODUCT((COUNTIFS('紐付け'!$A$4:$A$200,$A118,'紐付け'!$C$4:$C$200,'業務'!$C$4:$C$200)&gt;0)*('業務'!$A$4:$A$200&lt;&gt;"")))</f>
        <v/>
      </c>
      <c r="AP118" s="22">
        <f>IF($A118="","",SUMPRODUCT((COUNTIFS('紐付け'!$A$4:$A$200,$A118,'紐付け'!$C$4:$C$200,'業務'!$C$4:$C$200)&gt;0)*('業務'!$A$4:$A$200&lt;&gt;"")*('業務'!$P$4:$P$200="移管")))</f>
        <v/>
      </c>
      <c r="AQ118" s="22">
        <f>IF($A118="","",SUMPRODUCT((COUNTIFS('紐付け'!$A$4:$A$200,$A118,'紐付け'!$C$4:$C$200,'業務'!$C$4:$C$200)&gt;0)*('業務'!$A$4:$A$200&lt;&gt;"")*('業務'!$P$4:$P$200="留保")))</f>
        <v/>
      </c>
      <c r="AR118" s="22">
        <f>IF($A118="","",AO118-AP118-AQ118)</f>
        <v/>
      </c>
      <c r="AS118" s="22">
        <f>IF($A118="","",SUMPRODUCT(('紐付け'!$A$4:$A$200=$A118)*('紐付け'!$C$4:$C$200&lt;&gt;"")*(COUNTIF('業務'!$C$4:$C$200,'紐付け'!$C$4:$C$200)=0)*(COUNTIFS('システム'!$A$4:$A$200,'紐付け'!$C$4:$C$200,'システム'!$N$4:$N$200,"留保")&gt;0)))</f>
        <v/>
      </c>
      <c r="AT118" s="22">
        <f>IF($A118="","",SUMPRODUCT(('紐付け'!$A$4:$A$200=$A118)*('紐付け'!$C$4:$C$200&lt;&gt;"")*(COUNTIF('業務'!$C$4:$C$200,'紐付け'!$C$4:$C$200)=0))-AS118)</f>
        <v/>
      </c>
      <c r="AU118" s="22">
        <f>IF($A118="","",COUNTIF('契約'!$C$4:$C$200,$A118))</f>
        <v/>
      </c>
      <c r="AV118" s="22">
        <f>IF($A118="","",COUNTIFS('契約'!$C$4:$C$200,$A118,'契約'!$O$4:$O$200,"移管"))</f>
        <v/>
      </c>
      <c r="AW118" s="22">
        <f>IF($A118="","",COUNTIFS('契約'!$C$4:$C$200,$A118,'契約'!$O$4:$O$200,"一部"))</f>
        <v/>
      </c>
      <c r="AX118" s="22">
        <f>IF($A118="","",COUNTIFS('契約'!$C$4:$C$200,$A118,'契約'!$O$4:$O$200,"判定保留"))</f>
        <v/>
      </c>
      <c r="AY118" s="22">
        <f>IF($A118="","",COUNTIFS('契約'!$C$4:$C$200,$A118,'契約'!$O$4:$O$200,"留保"))</f>
        <v/>
      </c>
    </row>
    <row r="119">
      <c r="A119" s="17" t="n"/>
      <c r="B119" s="17" t="n"/>
      <c r="C119" s="17" t="n"/>
      <c r="D119" s="17" t="n"/>
      <c r="E119" s="17" t="n"/>
      <c r="F119" s="17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9">
        <f>IF(COUNT(G119:R119)=0,"",SUM(G119:R119))</f>
        <v/>
      </c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9">
        <f>IF(COUNT(T119:AE119)=0,"",SUM(T119:AE119))</f>
        <v/>
      </c>
      <c r="AG119" s="17" t="n"/>
      <c r="AH119" s="17" t="n"/>
      <c r="AI119" s="17" t="n"/>
      <c r="AJ119" s="17" t="n"/>
      <c r="AK119" s="17" t="n"/>
      <c r="AL119" s="22">
        <f>IF($A119="","",IF(OR(AM119="移管",AN119="移管"),"移管",IF(OR(AM119="一部",AN119="一部"),"一部",IF(OR(AM119="判定保留",AN119="判定保留"),"判定保留",IF(OR(AM119="留保",AN119="留保"),"留保","対象外")))))</f>
        <v/>
      </c>
      <c r="AM119" s="22">
        <f>IF($A119="","",IF(AU119=0,"対象外",IF(AV119=AU119,"移管",IF(AV119+AW119&gt;0,"一部",IF(AX119&gt;0,"判定保留",IF(AY119&gt;0,"留保","対象外"))))))</f>
        <v/>
      </c>
      <c r="AN119" s="22">
        <f>IF($A119="","",IF((AO119+AS119+AT119)=0,"対象外",IF(AP119=(AO119+AS119+AT119),"移管",IF(AP119&gt;0,"一部",IF(AR119+AT119&gt;0,"判定保留",IF(AQ119+AS119&gt;0,"留保","対象外"))))))</f>
        <v/>
      </c>
      <c r="AO119" s="22">
        <f>IF($A119="","",SUMPRODUCT((COUNTIFS('紐付け'!$A$4:$A$200,$A119,'紐付け'!$C$4:$C$200,'業務'!$C$4:$C$200)&gt;0)*('業務'!$A$4:$A$200&lt;&gt;"")))</f>
        <v/>
      </c>
      <c r="AP119" s="22">
        <f>IF($A119="","",SUMPRODUCT((COUNTIFS('紐付け'!$A$4:$A$200,$A119,'紐付け'!$C$4:$C$200,'業務'!$C$4:$C$200)&gt;0)*('業務'!$A$4:$A$200&lt;&gt;"")*('業務'!$P$4:$P$200="移管")))</f>
        <v/>
      </c>
      <c r="AQ119" s="22">
        <f>IF($A119="","",SUMPRODUCT((COUNTIFS('紐付け'!$A$4:$A$200,$A119,'紐付け'!$C$4:$C$200,'業務'!$C$4:$C$200)&gt;0)*('業務'!$A$4:$A$200&lt;&gt;"")*('業務'!$P$4:$P$200="留保")))</f>
        <v/>
      </c>
      <c r="AR119" s="22">
        <f>IF($A119="","",AO119-AP119-AQ119)</f>
        <v/>
      </c>
      <c r="AS119" s="22">
        <f>IF($A119="","",SUMPRODUCT(('紐付け'!$A$4:$A$200=$A119)*('紐付け'!$C$4:$C$200&lt;&gt;"")*(COUNTIF('業務'!$C$4:$C$200,'紐付け'!$C$4:$C$200)=0)*(COUNTIFS('システム'!$A$4:$A$200,'紐付け'!$C$4:$C$200,'システム'!$N$4:$N$200,"留保")&gt;0)))</f>
        <v/>
      </c>
      <c r="AT119" s="22">
        <f>IF($A119="","",SUMPRODUCT(('紐付け'!$A$4:$A$200=$A119)*('紐付け'!$C$4:$C$200&lt;&gt;"")*(COUNTIF('業務'!$C$4:$C$200,'紐付け'!$C$4:$C$200)=0))-AS119)</f>
        <v/>
      </c>
      <c r="AU119" s="22">
        <f>IF($A119="","",COUNTIF('契約'!$C$4:$C$200,$A119))</f>
        <v/>
      </c>
      <c r="AV119" s="22">
        <f>IF($A119="","",COUNTIFS('契約'!$C$4:$C$200,$A119,'契約'!$O$4:$O$200,"移管"))</f>
        <v/>
      </c>
      <c r="AW119" s="22">
        <f>IF($A119="","",COUNTIFS('契約'!$C$4:$C$200,$A119,'契約'!$O$4:$O$200,"一部"))</f>
        <v/>
      </c>
      <c r="AX119" s="22">
        <f>IF($A119="","",COUNTIFS('契約'!$C$4:$C$200,$A119,'契約'!$O$4:$O$200,"判定保留"))</f>
        <v/>
      </c>
      <c r="AY119" s="22">
        <f>IF($A119="","",COUNTIFS('契約'!$C$4:$C$200,$A119,'契約'!$O$4:$O$200,"留保"))</f>
        <v/>
      </c>
    </row>
    <row r="120">
      <c r="A120" s="17" t="n"/>
      <c r="B120" s="17" t="n"/>
      <c r="C120" s="17" t="n"/>
      <c r="D120" s="17" t="n"/>
      <c r="E120" s="17" t="n"/>
      <c r="F120" s="17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9">
        <f>IF(COUNT(G120:R120)=0,"",SUM(G120:R120))</f>
        <v/>
      </c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9">
        <f>IF(COUNT(T120:AE120)=0,"",SUM(T120:AE120))</f>
        <v/>
      </c>
      <c r="AG120" s="17" t="n"/>
      <c r="AH120" s="17" t="n"/>
      <c r="AI120" s="17" t="n"/>
      <c r="AJ120" s="17" t="n"/>
      <c r="AK120" s="17" t="n"/>
      <c r="AL120" s="22">
        <f>IF($A120="","",IF(OR(AM120="移管",AN120="移管"),"移管",IF(OR(AM120="一部",AN120="一部"),"一部",IF(OR(AM120="判定保留",AN120="判定保留"),"判定保留",IF(OR(AM120="留保",AN120="留保"),"留保","対象外")))))</f>
        <v/>
      </c>
      <c r="AM120" s="22">
        <f>IF($A120="","",IF(AU120=0,"対象外",IF(AV120=AU120,"移管",IF(AV120+AW120&gt;0,"一部",IF(AX120&gt;0,"判定保留",IF(AY120&gt;0,"留保","対象外"))))))</f>
        <v/>
      </c>
      <c r="AN120" s="22">
        <f>IF($A120="","",IF((AO120+AS120+AT120)=0,"対象外",IF(AP120=(AO120+AS120+AT120),"移管",IF(AP120&gt;0,"一部",IF(AR120+AT120&gt;0,"判定保留",IF(AQ120+AS120&gt;0,"留保","対象外"))))))</f>
        <v/>
      </c>
      <c r="AO120" s="22">
        <f>IF($A120="","",SUMPRODUCT((COUNTIFS('紐付け'!$A$4:$A$200,$A120,'紐付け'!$C$4:$C$200,'業務'!$C$4:$C$200)&gt;0)*('業務'!$A$4:$A$200&lt;&gt;"")))</f>
        <v/>
      </c>
      <c r="AP120" s="22">
        <f>IF($A120="","",SUMPRODUCT((COUNTIFS('紐付け'!$A$4:$A$200,$A120,'紐付け'!$C$4:$C$200,'業務'!$C$4:$C$200)&gt;0)*('業務'!$A$4:$A$200&lt;&gt;"")*('業務'!$P$4:$P$200="移管")))</f>
        <v/>
      </c>
      <c r="AQ120" s="22">
        <f>IF($A120="","",SUMPRODUCT((COUNTIFS('紐付け'!$A$4:$A$200,$A120,'紐付け'!$C$4:$C$200,'業務'!$C$4:$C$200)&gt;0)*('業務'!$A$4:$A$200&lt;&gt;"")*('業務'!$P$4:$P$200="留保")))</f>
        <v/>
      </c>
      <c r="AR120" s="22">
        <f>IF($A120="","",AO120-AP120-AQ120)</f>
        <v/>
      </c>
      <c r="AS120" s="22">
        <f>IF($A120="","",SUMPRODUCT(('紐付け'!$A$4:$A$200=$A120)*('紐付け'!$C$4:$C$200&lt;&gt;"")*(COUNTIF('業務'!$C$4:$C$200,'紐付け'!$C$4:$C$200)=0)*(COUNTIFS('システム'!$A$4:$A$200,'紐付け'!$C$4:$C$200,'システム'!$N$4:$N$200,"留保")&gt;0)))</f>
        <v/>
      </c>
      <c r="AT120" s="22">
        <f>IF($A120="","",SUMPRODUCT(('紐付け'!$A$4:$A$200=$A120)*('紐付け'!$C$4:$C$200&lt;&gt;"")*(COUNTIF('業務'!$C$4:$C$200,'紐付け'!$C$4:$C$200)=0))-AS120)</f>
        <v/>
      </c>
      <c r="AU120" s="22">
        <f>IF($A120="","",COUNTIF('契約'!$C$4:$C$200,$A120))</f>
        <v/>
      </c>
      <c r="AV120" s="22">
        <f>IF($A120="","",COUNTIFS('契約'!$C$4:$C$200,$A120,'契約'!$O$4:$O$200,"移管"))</f>
        <v/>
      </c>
      <c r="AW120" s="22">
        <f>IF($A120="","",COUNTIFS('契約'!$C$4:$C$200,$A120,'契約'!$O$4:$O$200,"一部"))</f>
        <v/>
      </c>
      <c r="AX120" s="22">
        <f>IF($A120="","",COUNTIFS('契約'!$C$4:$C$200,$A120,'契約'!$O$4:$O$200,"判定保留"))</f>
        <v/>
      </c>
      <c r="AY120" s="22">
        <f>IF($A120="","",COUNTIFS('契約'!$C$4:$C$200,$A120,'契約'!$O$4:$O$200,"留保"))</f>
        <v/>
      </c>
    </row>
    <row r="121">
      <c r="A121" s="17" t="n"/>
      <c r="B121" s="17" t="n"/>
      <c r="C121" s="17" t="n"/>
      <c r="D121" s="17" t="n"/>
      <c r="E121" s="17" t="n"/>
      <c r="F121" s="17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9">
        <f>IF(COUNT(G121:R121)=0,"",SUM(G121:R121))</f>
        <v/>
      </c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9">
        <f>IF(COUNT(T121:AE121)=0,"",SUM(T121:AE121))</f>
        <v/>
      </c>
      <c r="AG121" s="17" t="n"/>
      <c r="AH121" s="17" t="n"/>
      <c r="AI121" s="17" t="n"/>
      <c r="AJ121" s="17" t="n"/>
      <c r="AK121" s="17" t="n"/>
      <c r="AL121" s="22">
        <f>IF($A121="","",IF(OR(AM121="移管",AN121="移管"),"移管",IF(OR(AM121="一部",AN121="一部"),"一部",IF(OR(AM121="判定保留",AN121="判定保留"),"判定保留",IF(OR(AM121="留保",AN121="留保"),"留保","対象外")))))</f>
        <v/>
      </c>
      <c r="AM121" s="22">
        <f>IF($A121="","",IF(AU121=0,"対象外",IF(AV121=AU121,"移管",IF(AV121+AW121&gt;0,"一部",IF(AX121&gt;0,"判定保留",IF(AY121&gt;0,"留保","対象外"))))))</f>
        <v/>
      </c>
      <c r="AN121" s="22">
        <f>IF($A121="","",IF((AO121+AS121+AT121)=0,"対象外",IF(AP121=(AO121+AS121+AT121),"移管",IF(AP121&gt;0,"一部",IF(AR121+AT121&gt;0,"判定保留",IF(AQ121+AS121&gt;0,"留保","対象外"))))))</f>
        <v/>
      </c>
      <c r="AO121" s="22">
        <f>IF($A121="","",SUMPRODUCT((COUNTIFS('紐付け'!$A$4:$A$200,$A121,'紐付け'!$C$4:$C$200,'業務'!$C$4:$C$200)&gt;0)*('業務'!$A$4:$A$200&lt;&gt;"")))</f>
        <v/>
      </c>
      <c r="AP121" s="22">
        <f>IF($A121="","",SUMPRODUCT((COUNTIFS('紐付け'!$A$4:$A$200,$A121,'紐付け'!$C$4:$C$200,'業務'!$C$4:$C$200)&gt;0)*('業務'!$A$4:$A$200&lt;&gt;"")*('業務'!$P$4:$P$200="移管")))</f>
        <v/>
      </c>
      <c r="AQ121" s="22">
        <f>IF($A121="","",SUMPRODUCT((COUNTIFS('紐付け'!$A$4:$A$200,$A121,'紐付け'!$C$4:$C$200,'業務'!$C$4:$C$200)&gt;0)*('業務'!$A$4:$A$200&lt;&gt;"")*('業務'!$P$4:$P$200="留保")))</f>
        <v/>
      </c>
      <c r="AR121" s="22">
        <f>IF($A121="","",AO121-AP121-AQ121)</f>
        <v/>
      </c>
      <c r="AS121" s="22">
        <f>IF($A121="","",SUMPRODUCT(('紐付け'!$A$4:$A$200=$A121)*('紐付け'!$C$4:$C$200&lt;&gt;"")*(COUNTIF('業務'!$C$4:$C$200,'紐付け'!$C$4:$C$200)=0)*(COUNTIFS('システム'!$A$4:$A$200,'紐付け'!$C$4:$C$200,'システム'!$N$4:$N$200,"留保")&gt;0)))</f>
        <v/>
      </c>
      <c r="AT121" s="22">
        <f>IF($A121="","",SUMPRODUCT(('紐付け'!$A$4:$A$200=$A121)*('紐付け'!$C$4:$C$200&lt;&gt;"")*(COUNTIF('業務'!$C$4:$C$200,'紐付け'!$C$4:$C$200)=0))-AS121)</f>
        <v/>
      </c>
      <c r="AU121" s="22">
        <f>IF($A121="","",COUNTIF('契約'!$C$4:$C$200,$A121))</f>
        <v/>
      </c>
      <c r="AV121" s="22">
        <f>IF($A121="","",COUNTIFS('契約'!$C$4:$C$200,$A121,'契約'!$O$4:$O$200,"移管"))</f>
        <v/>
      </c>
      <c r="AW121" s="22">
        <f>IF($A121="","",COUNTIFS('契約'!$C$4:$C$200,$A121,'契約'!$O$4:$O$200,"一部"))</f>
        <v/>
      </c>
      <c r="AX121" s="22">
        <f>IF($A121="","",COUNTIFS('契約'!$C$4:$C$200,$A121,'契約'!$O$4:$O$200,"判定保留"))</f>
        <v/>
      </c>
      <c r="AY121" s="22">
        <f>IF($A121="","",COUNTIFS('契約'!$C$4:$C$200,$A121,'契約'!$O$4:$O$200,"留保"))</f>
        <v/>
      </c>
    </row>
    <row r="122">
      <c r="A122" s="17" t="n"/>
      <c r="B122" s="17" t="n"/>
      <c r="C122" s="17" t="n"/>
      <c r="D122" s="17" t="n"/>
      <c r="E122" s="17" t="n"/>
      <c r="F122" s="17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9">
        <f>IF(COUNT(G122:R122)=0,"",SUM(G122:R122))</f>
        <v/>
      </c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9">
        <f>IF(COUNT(T122:AE122)=0,"",SUM(T122:AE122))</f>
        <v/>
      </c>
      <c r="AG122" s="17" t="n"/>
      <c r="AH122" s="17" t="n"/>
      <c r="AI122" s="17" t="n"/>
      <c r="AJ122" s="17" t="n"/>
      <c r="AK122" s="17" t="n"/>
      <c r="AL122" s="22">
        <f>IF($A122="","",IF(OR(AM122="移管",AN122="移管"),"移管",IF(OR(AM122="一部",AN122="一部"),"一部",IF(OR(AM122="判定保留",AN122="判定保留"),"判定保留",IF(OR(AM122="留保",AN122="留保"),"留保","対象外")))))</f>
        <v/>
      </c>
      <c r="AM122" s="22">
        <f>IF($A122="","",IF(AU122=0,"対象外",IF(AV122=AU122,"移管",IF(AV122+AW122&gt;0,"一部",IF(AX122&gt;0,"判定保留",IF(AY122&gt;0,"留保","対象外"))))))</f>
        <v/>
      </c>
      <c r="AN122" s="22">
        <f>IF($A122="","",IF((AO122+AS122+AT122)=0,"対象外",IF(AP122=(AO122+AS122+AT122),"移管",IF(AP122&gt;0,"一部",IF(AR122+AT122&gt;0,"判定保留",IF(AQ122+AS122&gt;0,"留保","対象外"))))))</f>
        <v/>
      </c>
      <c r="AO122" s="22">
        <f>IF($A122="","",SUMPRODUCT((COUNTIFS('紐付け'!$A$4:$A$200,$A122,'紐付け'!$C$4:$C$200,'業務'!$C$4:$C$200)&gt;0)*('業務'!$A$4:$A$200&lt;&gt;"")))</f>
        <v/>
      </c>
      <c r="AP122" s="22">
        <f>IF($A122="","",SUMPRODUCT((COUNTIFS('紐付け'!$A$4:$A$200,$A122,'紐付け'!$C$4:$C$200,'業務'!$C$4:$C$200)&gt;0)*('業務'!$A$4:$A$200&lt;&gt;"")*('業務'!$P$4:$P$200="移管")))</f>
        <v/>
      </c>
      <c r="AQ122" s="22">
        <f>IF($A122="","",SUMPRODUCT((COUNTIFS('紐付け'!$A$4:$A$200,$A122,'紐付け'!$C$4:$C$200,'業務'!$C$4:$C$200)&gt;0)*('業務'!$A$4:$A$200&lt;&gt;"")*('業務'!$P$4:$P$200="留保")))</f>
        <v/>
      </c>
      <c r="AR122" s="22">
        <f>IF($A122="","",AO122-AP122-AQ122)</f>
        <v/>
      </c>
      <c r="AS122" s="22">
        <f>IF($A122="","",SUMPRODUCT(('紐付け'!$A$4:$A$200=$A122)*('紐付け'!$C$4:$C$200&lt;&gt;"")*(COUNTIF('業務'!$C$4:$C$200,'紐付け'!$C$4:$C$200)=0)*(COUNTIFS('システム'!$A$4:$A$200,'紐付け'!$C$4:$C$200,'システム'!$N$4:$N$200,"留保")&gt;0)))</f>
        <v/>
      </c>
      <c r="AT122" s="22">
        <f>IF($A122="","",SUMPRODUCT(('紐付け'!$A$4:$A$200=$A122)*('紐付け'!$C$4:$C$200&lt;&gt;"")*(COUNTIF('業務'!$C$4:$C$200,'紐付け'!$C$4:$C$200)=0))-AS122)</f>
        <v/>
      </c>
      <c r="AU122" s="22">
        <f>IF($A122="","",COUNTIF('契約'!$C$4:$C$200,$A122))</f>
        <v/>
      </c>
      <c r="AV122" s="22">
        <f>IF($A122="","",COUNTIFS('契約'!$C$4:$C$200,$A122,'契約'!$O$4:$O$200,"移管"))</f>
        <v/>
      </c>
      <c r="AW122" s="22">
        <f>IF($A122="","",COUNTIFS('契約'!$C$4:$C$200,$A122,'契約'!$O$4:$O$200,"一部"))</f>
        <v/>
      </c>
      <c r="AX122" s="22">
        <f>IF($A122="","",COUNTIFS('契約'!$C$4:$C$200,$A122,'契約'!$O$4:$O$200,"判定保留"))</f>
        <v/>
      </c>
      <c r="AY122" s="22">
        <f>IF($A122="","",COUNTIFS('契約'!$C$4:$C$200,$A122,'契約'!$O$4:$O$200,"留保"))</f>
        <v/>
      </c>
    </row>
    <row r="123">
      <c r="A123" s="17" t="n"/>
      <c r="B123" s="17" t="n"/>
      <c r="C123" s="17" t="n"/>
      <c r="D123" s="17" t="n"/>
      <c r="E123" s="17" t="n"/>
      <c r="F123" s="17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9">
        <f>IF(COUNT(G123:R123)=0,"",SUM(G123:R123))</f>
        <v/>
      </c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9">
        <f>IF(COUNT(T123:AE123)=0,"",SUM(T123:AE123))</f>
        <v/>
      </c>
      <c r="AG123" s="17" t="n"/>
      <c r="AH123" s="17" t="n"/>
      <c r="AI123" s="17" t="n"/>
      <c r="AJ123" s="17" t="n"/>
      <c r="AK123" s="17" t="n"/>
      <c r="AL123" s="22">
        <f>IF($A123="","",IF(OR(AM123="移管",AN123="移管"),"移管",IF(OR(AM123="一部",AN123="一部"),"一部",IF(OR(AM123="判定保留",AN123="判定保留"),"判定保留",IF(OR(AM123="留保",AN123="留保"),"留保","対象外")))))</f>
        <v/>
      </c>
      <c r="AM123" s="22">
        <f>IF($A123="","",IF(AU123=0,"対象外",IF(AV123=AU123,"移管",IF(AV123+AW123&gt;0,"一部",IF(AX123&gt;0,"判定保留",IF(AY123&gt;0,"留保","対象外"))))))</f>
        <v/>
      </c>
      <c r="AN123" s="22">
        <f>IF($A123="","",IF((AO123+AS123+AT123)=0,"対象外",IF(AP123=(AO123+AS123+AT123),"移管",IF(AP123&gt;0,"一部",IF(AR123+AT123&gt;0,"判定保留",IF(AQ123+AS123&gt;0,"留保","対象外"))))))</f>
        <v/>
      </c>
      <c r="AO123" s="22">
        <f>IF($A123="","",SUMPRODUCT((COUNTIFS('紐付け'!$A$4:$A$200,$A123,'紐付け'!$C$4:$C$200,'業務'!$C$4:$C$200)&gt;0)*('業務'!$A$4:$A$200&lt;&gt;"")))</f>
        <v/>
      </c>
      <c r="AP123" s="22">
        <f>IF($A123="","",SUMPRODUCT((COUNTIFS('紐付け'!$A$4:$A$200,$A123,'紐付け'!$C$4:$C$200,'業務'!$C$4:$C$200)&gt;0)*('業務'!$A$4:$A$200&lt;&gt;"")*('業務'!$P$4:$P$200="移管")))</f>
        <v/>
      </c>
      <c r="AQ123" s="22">
        <f>IF($A123="","",SUMPRODUCT((COUNTIFS('紐付け'!$A$4:$A$200,$A123,'紐付け'!$C$4:$C$200,'業務'!$C$4:$C$200)&gt;0)*('業務'!$A$4:$A$200&lt;&gt;"")*('業務'!$P$4:$P$200="留保")))</f>
        <v/>
      </c>
      <c r="AR123" s="22">
        <f>IF($A123="","",AO123-AP123-AQ123)</f>
        <v/>
      </c>
      <c r="AS123" s="22">
        <f>IF($A123="","",SUMPRODUCT(('紐付け'!$A$4:$A$200=$A123)*('紐付け'!$C$4:$C$200&lt;&gt;"")*(COUNTIF('業務'!$C$4:$C$200,'紐付け'!$C$4:$C$200)=0)*(COUNTIFS('システム'!$A$4:$A$200,'紐付け'!$C$4:$C$200,'システム'!$N$4:$N$200,"留保")&gt;0)))</f>
        <v/>
      </c>
      <c r="AT123" s="22">
        <f>IF($A123="","",SUMPRODUCT(('紐付け'!$A$4:$A$200=$A123)*('紐付け'!$C$4:$C$200&lt;&gt;"")*(COUNTIF('業務'!$C$4:$C$200,'紐付け'!$C$4:$C$200)=0))-AS123)</f>
        <v/>
      </c>
      <c r="AU123" s="22">
        <f>IF($A123="","",COUNTIF('契約'!$C$4:$C$200,$A123))</f>
        <v/>
      </c>
      <c r="AV123" s="22">
        <f>IF($A123="","",COUNTIFS('契約'!$C$4:$C$200,$A123,'契約'!$O$4:$O$200,"移管"))</f>
        <v/>
      </c>
      <c r="AW123" s="22">
        <f>IF($A123="","",COUNTIFS('契約'!$C$4:$C$200,$A123,'契約'!$O$4:$O$200,"一部"))</f>
        <v/>
      </c>
      <c r="AX123" s="22">
        <f>IF($A123="","",COUNTIFS('契約'!$C$4:$C$200,$A123,'契約'!$O$4:$O$200,"判定保留"))</f>
        <v/>
      </c>
      <c r="AY123" s="22">
        <f>IF($A123="","",COUNTIFS('契約'!$C$4:$C$200,$A123,'契約'!$O$4:$O$200,"留保"))</f>
        <v/>
      </c>
    </row>
    <row r="124">
      <c r="A124" s="17" t="n"/>
      <c r="B124" s="17" t="n"/>
      <c r="C124" s="17" t="n"/>
      <c r="D124" s="17" t="n"/>
      <c r="E124" s="17" t="n"/>
      <c r="F124" s="17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9">
        <f>IF(COUNT(G124:R124)=0,"",SUM(G124:R124))</f>
        <v/>
      </c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9">
        <f>IF(COUNT(T124:AE124)=0,"",SUM(T124:AE124))</f>
        <v/>
      </c>
      <c r="AG124" s="17" t="n"/>
      <c r="AH124" s="17" t="n"/>
      <c r="AI124" s="17" t="n"/>
      <c r="AJ124" s="17" t="n"/>
      <c r="AK124" s="17" t="n"/>
      <c r="AL124" s="22">
        <f>IF($A124="","",IF(OR(AM124="移管",AN124="移管"),"移管",IF(OR(AM124="一部",AN124="一部"),"一部",IF(OR(AM124="判定保留",AN124="判定保留"),"判定保留",IF(OR(AM124="留保",AN124="留保"),"留保","対象外")))))</f>
        <v/>
      </c>
      <c r="AM124" s="22">
        <f>IF($A124="","",IF(AU124=0,"対象外",IF(AV124=AU124,"移管",IF(AV124+AW124&gt;0,"一部",IF(AX124&gt;0,"判定保留",IF(AY124&gt;0,"留保","対象外"))))))</f>
        <v/>
      </c>
      <c r="AN124" s="22">
        <f>IF($A124="","",IF((AO124+AS124+AT124)=0,"対象外",IF(AP124=(AO124+AS124+AT124),"移管",IF(AP124&gt;0,"一部",IF(AR124+AT124&gt;0,"判定保留",IF(AQ124+AS124&gt;0,"留保","対象外"))))))</f>
        <v/>
      </c>
      <c r="AO124" s="22">
        <f>IF($A124="","",SUMPRODUCT((COUNTIFS('紐付け'!$A$4:$A$200,$A124,'紐付け'!$C$4:$C$200,'業務'!$C$4:$C$200)&gt;0)*('業務'!$A$4:$A$200&lt;&gt;"")))</f>
        <v/>
      </c>
      <c r="AP124" s="22">
        <f>IF($A124="","",SUMPRODUCT((COUNTIFS('紐付け'!$A$4:$A$200,$A124,'紐付け'!$C$4:$C$200,'業務'!$C$4:$C$200)&gt;0)*('業務'!$A$4:$A$200&lt;&gt;"")*('業務'!$P$4:$P$200="移管")))</f>
        <v/>
      </c>
      <c r="AQ124" s="22">
        <f>IF($A124="","",SUMPRODUCT((COUNTIFS('紐付け'!$A$4:$A$200,$A124,'紐付け'!$C$4:$C$200,'業務'!$C$4:$C$200)&gt;0)*('業務'!$A$4:$A$200&lt;&gt;"")*('業務'!$P$4:$P$200="留保")))</f>
        <v/>
      </c>
      <c r="AR124" s="22">
        <f>IF($A124="","",AO124-AP124-AQ124)</f>
        <v/>
      </c>
      <c r="AS124" s="22">
        <f>IF($A124="","",SUMPRODUCT(('紐付け'!$A$4:$A$200=$A124)*('紐付け'!$C$4:$C$200&lt;&gt;"")*(COUNTIF('業務'!$C$4:$C$200,'紐付け'!$C$4:$C$200)=0)*(COUNTIFS('システム'!$A$4:$A$200,'紐付け'!$C$4:$C$200,'システム'!$N$4:$N$200,"留保")&gt;0)))</f>
        <v/>
      </c>
      <c r="AT124" s="22">
        <f>IF($A124="","",SUMPRODUCT(('紐付け'!$A$4:$A$200=$A124)*('紐付け'!$C$4:$C$200&lt;&gt;"")*(COUNTIF('業務'!$C$4:$C$200,'紐付け'!$C$4:$C$200)=0))-AS124)</f>
        <v/>
      </c>
      <c r="AU124" s="22">
        <f>IF($A124="","",COUNTIF('契約'!$C$4:$C$200,$A124))</f>
        <v/>
      </c>
      <c r="AV124" s="22">
        <f>IF($A124="","",COUNTIFS('契約'!$C$4:$C$200,$A124,'契約'!$O$4:$O$200,"移管"))</f>
        <v/>
      </c>
      <c r="AW124" s="22">
        <f>IF($A124="","",COUNTIFS('契約'!$C$4:$C$200,$A124,'契約'!$O$4:$O$200,"一部"))</f>
        <v/>
      </c>
      <c r="AX124" s="22">
        <f>IF($A124="","",COUNTIFS('契約'!$C$4:$C$200,$A124,'契約'!$O$4:$O$200,"判定保留"))</f>
        <v/>
      </c>
      <c r="AY124" s="22">
        <f>IF($A124="","",COUNTIFS('契約'!$C$4:$C$200,$A124,'契約'!$O$4:$O$200,"留保"))</f>
        <v/>
      </c>
    </row>
    <row r="125">
      <c r="A125" s="17" t="n"/>
      <c r="B125" s="17" t="n"/>
      <c r="C125" s="17" t="n"/>
      <c r="D125" s="17" t="n"/>
      <c r="E125" s="17" t="n"/>
      <c r="F125" s="17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9">
        <f>IF(COUNT(G125:R125)=0,"",SUM(G125:R125))</f>
        <v/>
      </c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9">
        <f>IF(COUNT(T125:AE125)=0,"",SUM(T125:AE125))</f>
        <v/>
      </c>
      <c r="AG125" s="17" t="n"/>
      <c r="AH125" s="17" t="n"/>
      <c r="AI125" s="17" t="n"/>
      <c r="AJ125" s="17" t="n"/>
      <c r="AK125" s="17" t="n"/>
      <c r="AL125" s="22">
        <f>IF($A125="","",IF(OR(AM125="移管",AN125="移管"),"移管",IF(OR(AM125="一部",AN125="一部"),"一部",IF(OR(AM125="判定保留",AN125="判定保留"),"判定保留",IF(OR(AM125="留保",AN125="留保"),"留保","対象外")))))</f>
        <v/>
      </c>
      <c r="AM125" s="22">
        <f>IF($A125="","",IF(AU125=0,"対象外",IF(AV125=AU125,"移管",IF(AV125+AW125&gt;0,"一部",IF(AX125&gt;0,"判定保留",IF(AY125&gt;0,"留保","対象外"))))))</f>
        <v/>
      </c>
      <c r="AN125" s="22">
        <f>IF($A125="","",IF((AO125+AS125+AT125)=0,"対象外",IF(AP125=(AO125+AS125+AT125),"移管",IF(AP125&gt;0,"一部",IF(AR125+AT125&gt;0,"判定保留",IF(AQ125+AS125&gt;0,"留保","対象外"))))))</f>
        <v/>
      </c>
      <c r="AO125" s="22">
        <f>IF($A125="","",SUMPRODUCT((COUNTIFS('紐付け'!$A$4:$A$200,$A125,'紐付け'!$C$4:$C$200,'業務'!$C$4:$C$200)&gt;0)*('業務'!$A$4:$A$200&lt;&gt;"")))</f>
        <v/>
      </c>
      <c r="AP125" s="22">
        <f>IF($A125="","",SUMPRODUCT((COUNTIFS('紐付け'!$A$4:$A$200,$A125,'紐付け'!$C$4:$C$200,'業務'!$C$4:$C$200)&gt;0)*('業務'!$A$4:$A$200&lt;&gt;"")*('業務'!$P$4:$P$200="移管")))</f>
        <v/>
      </c>
      <c r="AQ125" s="22">
        <f>IF($A125="","",SUMPRODUCT((COUNTIFS('紐付け'!$A$4:$A$200,$A125,'紐付け'!$C$4:$C$200,'業務'!$C$4:$C$200)&gt;0)*('業務'!$A$4:$A$200&lt;&gt;"")*('業務'!$P$4:$P$200="留保")))</f>
        <v/>
      </c>
      <c r="AR125" s="22">
        <f>IF($A125="","",AO125-AP125-AQ125)</f>
        <v/>
      </c>
      <c r="AS125" s="22">
        <f>IF($A125="","",SUMPRODUCT(('紐付け'!$A$4:$A$200=$A125)*('紐付け'!$C$4:$C$200&lt;&gt;"")*(COUNTIF('業務'!$C$4:$C$200,'紐付け'!$C$4:$C$200)=0)*(COUNTIFS('システム'!$A$4:$A$200,'紐付け'!$C$4:$C$200,'システム'!$N$4:$N$200,"留保")&gt;0)))</f>
        <v/>
      </c>
      <c r="AT125" s="22">
        <f>IF($A125="","",SUMPRODUCT(('紐付け'!$A$4:$A$200=$A125)*('紐付け'!$C$4:$C$200&lt;&gt;"")*(COUNTIF('業務'!$C$4:$C$200,'紐付け'!$C$4:$C$200)=0))-AS125)</f>
        <v/>
      </c>
      <c r="AU125" s="22">
        <f>IF($A125="","",COUNTIF('契約'!$C$4:$C$200,$A125))</f>
        <v/>
      </c>
      <c r="AV125" s="22">
        <f>IF($A125="","",COUNTIFS('契約'!$C$4:$C$200,$A125,'契約'!$O$4:$O$200,"移管"))</f>
        <v/>
      </c>
      <c r="AW125" s="22">
        <f>IF($A125="","",COUNTIFS('契約'!$C$4:$C$200,$A125,'契約'!$O$4:$O$200,"一部"))</f>
        <v/>
      </c>
      <c r="AX125" s="22">
        <f>IF($A125="","",COUNTIFS('契約'!$C$4:$C$200,$A125,'契約'!$O$4:$O$200,"判定保留"))</f>
        <v/>
      </c>
      <c r="AY125" s="22">
        <f>IF($A125="","",COUNTIFS('契約'!$C$4:$C$200,$A125,'契約'!$O$4:$O$200,"留保"))</f>
        <v/>
      </c>
    </row>
    <row r="126">
      <c r="A126" s="17" t="n"/>
      <c r="B126" s="17" t="n"/>
      <c r="C126" s="17" t="n"/>
      <c r="D126" s="17" t="n"/>
      <c r="E126" s="17" t="n"/>
      <c r="F126" s="17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9">
        <f>IF(COUNT(G126:R126)=0,"",SUM(G126:R126))</f>
        <v/>
      </c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9">
        <f>IF(COUNT(T126:AE126)=0,"",SUM(T126:AE126))</f>
        <v/>
      </c>
      <c r="AG126" s="17" t="n"/>
      <c r="AH126" s="17" t="n"/>
      <c r="AI126" s="17" t="n"/>
      <c r="AJ126" s="17" t="n"/>
      <c r="AK126" s="17" t="n"/>
      <c r="AL126" s="22">
        <f>IF($A126="","",IF(OR(AM126="移管",AN126="移管"),"移管",IF(OR(AM126="一部",AN126="一部"),"一部",IF(OR(AM126="判定保留",AN126="判定保留"),"判定保留",IF(OR(AM126="留保",AN126="留保"),"留保","対象外")))))</f>
        <v/>
      </c>
      <c r="AM126" s="22">
        <f>IF($A126="","",IF(AU126=0,"対象外",IF(AV126=AU126,"移管",IF(AV126+AW126&gt;0,"一部",IF(AX126&gt;0,"判定保留",IF(AY126&gt;0,"留保","対象外"))))))</f>
        <v/>
      </c>
      <c r="AN126" s="22">
        <f>IF($A126="","",IF((AO126+AS126+AT126)=0,"対象外",IF(AP126=(AO126+AS126+AT126),"移管",IF(AP126&gt;0,"一部",IF(AR126+AT126&gt;0,"判定保留",IF(AQ126+AS126&gt;0,"留保","対象外"))))))</f>
        <v/>
      </c>
      <c r="AO126" s="22">
        <f>IF($A126="","",SUMPRODUCT((COUNTIFS('紐付け'!$A$4:$A$200,$A126,'紐付け'!$C$4:$C$200,'業務'!$C$4:$C$200)&gt;0)*('業務'!$A$4:$A$200&lt;&gt;"")))</f>
        <v/>
      </c>
      <c r="AP126" s="22">
        <f>IF($A126="","",SUMPRODUCT((COUNTIFS('紐付け'!$A$4:$A$200,$A126,'紐付け'!$C$4:$C$200,'業務'!$C$4:$C$200)&gt;0)*('業務'!$A$4:$A$200&lt;&gt;"")*('業務'!$P$4:$P$200="移管")))</f>
        <v/>
      </c>
      <c r="AQ126" s="22">
        <f>IF($A126="","",SUMPRODUCT((COUNTIFS('紐付け'!$A$4:$A$200,$A126,'紐付け'!$C$4:$C$200,'業務'!$C$4:$C$200)&gt;0)*('業務'!$A$4:$A$200&lt;&gt;"")*('業務'!$P$4:$P$200="留保")))</f>
        <v/>
      </c>
      <c r="AR126" s="22">
        <f>IF($A126="","",AO126-AP126-AQ126)</f>
        <v/>
      </c>
      <c r="AS126" s="22">
        <f>IF($A126="","",SUMPRODUCT(('紐付け'!$A$4:$A$200=$A126)*('紐付け'!$C$4:$C$200&lt;&gt;"")*(COUNTIF('業務'!$C$4:$C$200,'紐付け'!$C$4:$C$200)=0)*(COUNTIFS('システム'!$A$4:$A$200,'紐付け'!$C$4:$C$200,'システム'!$N$4:$N$200,"留保")&gt;0)))</f>
        <v/>
      </c>
      <c r="AT126" s="22">
        <f>IF($A126="","",SUMPRODUCT(('紐付け'!$A$4:$A$200=$A126)*('紐付け'!$C$4:$C$200&lt;&gt;"")*(COUNTIF('業務'!$C$4:$C$200,'紐付け'!$C$4:$C$200)=0))-AS126)</f>
        <v/>
      </c>
      <c r="AU126" s="22">
        <f>IF($A126="","",COUNTIF('契約'!$C$4:$C$200,$A126))</f>
        <v/>
      </c>
      <c r="AV126" s="22">
        <f>IF($A126="","",COUNTIFS('契約'!$C$4:$C$200,$A126,'契約'!$O$4:$O$200,"移管"))</f>
        <v/>
      </c>
      <c r="AW126" s="22">
        <f>IF($A126="","",COUNTIFS('契約'!$C$4:$C$200,$A126,'契約'!$O$4:$O$200,"一部"))</f>
        <v/>
      </c>
      <c r="AX126" s="22">
        <f>IF($A126="","",COUNTIFS('契約'!$C$4:$C$200,$A126,'契約'!$O$4:$O$200,"判定保留"))</f>
        <v/>
      </c>
      <c r="AY126" s="22">
        <f>IF($A126="","",COUNTIFS('契約'!$C$4:$C$200,$A126,'契約'!$O$4:$O$200,"留保"))</f>
        <v/>
      </c>
    </row>
    <row r="127">
      <c r="A127" s="17" t="n"/>
      <c r="B127" s="17" t="n"/>
      <c r="C127" s="17" t="n"/>
      <c r="D127" s="17" t="n"/>
      <c r="E127" s="17" t="n"/>
      <c r="F127" s="17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9">
        <f>IF(COUNT(G127:R127)=0,"",SUM(G127:R127))</f>
        <v/>
      </c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9">
        <f>IF(COUNT(T127:AE127)=0,"",SUM(T127:AE127))</f>
        <v/>
      </c>
      <c r="AG127" s="17" t="n"/>
      <c r="AH127" s="17" t="n"/>
      <c r="AI127" s="17" t="n"/>
      <c r="AJ127" s="17" t="n"/>
      <c r="AK127" s="17" t="n"/>
      <c r="AL127" s="22">
        <f>IF($A127="","",IF(OR(AM127="移管",AN127="移管"),"移管",IF(OR(AM127="一部",AN127="一部"),"一部",IF(OR(AM127="判定保留",AN127="判定保留"),"判定保留",IF(OR(AM127="留保",AN127="留保"),"留保","対象外")))))</f>
        <v/>
      </c>
      <c r="AM127" s="22">
        <f>IF($A127="","",IF(AU127=0,"対象外",IF(AV127=AU127,"移管",IF(AV127+AW127&gt;0,"一部",IF(AX127&gt;0,"判定保留",IF(AY127&gt;0,"留保","対象外"))))))</f>
        <v/>
      </c>
      <c r="AN127" s="22">
        <f>IF($A127="","",IF((AO127+AS127+AT127)=0,"対象外",IF(AP127=(AO127+AS127+AT127),"移管",IF(AP127&gt;0,"一部",IF(AR127+AT127&gt;0,"判定保留",IF(AQ127+AS127&gt;0,"留保","対象外"))))))</f>
        <v/>
      </c>
      <c r="AO127" s="22">
        <f>IF($A127="","",SUMPRODUCT((COUNTIFS('紐付け'!$A$4:$A$200,$A127,'紐付け'!$C$4:$C$200,'業務'!$C$4:$C$200)&gt;0)*('業務'!$A$4:$A$200&lt;&gt;"")))</f>
        <v/>
      </c>
      <c r="AP127" s="22">
        <f>IF($A127="","",SUMPRODUCT((COUNTIFS('紐付け'!$A$4:$A$200,$A127,'紐付け'!$C$4:$C$200,'業務'!$C$4:$C$200)&gt;0)*('業務'!$A$4:$A$200&lt;&gt;"")*('業務'!$P$4:$P$200="移管")))</f>
        <v/>
      </c>
      <c r="AQ127" s="22">
        <f>IF($A127="","",SUMPRODUCT((COUNTIFS('紐付け'!$A$4:$A$200,$A127,'紐付け'!$C$4:$C$200,'業務'!$C$4:$C$200)&gt;0)*('業務'!$A$4:$A$200&lt;&gt;"")*('業務'!$P$4:$P$200="留保")))</f>
        <v/>
      </c>
      <c r="AR127" s="22">
        <f>IF($A127="","",AO127-AP127-AQ127)</f>
        <v/>
      </c>
      <c r="AS127" s="22">
        <f>IF($A127="","",SUMPRODUCT(('紐付け'!$A$4:$A$200=$A127)*('紐付け'!$C$4:$C$200&lt;&gt;"")*(COUNTIF('業務'!$C$4:$C$200,'紐付け'!$C$4:$C$200)=0)*(COUNTIFS('システム'!$A$4:$A$200,'紐付け'!$C$4:$C$200,'システム'!$N$4:$N$200,"留保")&gt;0)))</f>
        <v/>
      </c>
      <c r="AT127" s="22">
        <f>IF($A127="","",SUMPRODUCT(('紐付け'!$A$4:$A$200=$A127)*('紐付け'!$C$4:$C$200&lt;&gt;"")*(COUNTIF('業務'!$C$4:$C$200,'紐付け'!$C$4:$C$200)=0))-AS127)</f>
        <v/>
      </c>
      <c r="AU127" s="22">
        <f>IF($A127="","",COUNTIF('契約'!$C$4:$C$200,$A127))</f>
        <v/>
      </c>
      <c r="AV127" s="22">
        <f>IF($A127="","",COUNTIFS('契約'!$C$4:$C$200,$A127,'契約'!$O$4:$O$200,"移管"))</f>
        <v/>
      </c>
      <c r="AW127" s="22">
        <f>IF($A127="","",COUNTIFS('契約'!$C$4:$C$200,$A127,'契約'!$O$4:$O$200,"一部"))</f>
        <v/>
      </c>
      <c r="AX127" s="22">
        <f>IF($A127="","",COUNTIFS('契約'!$C$4:$C$200,$A127,'契約'!$O$4:$O$200,"判定保留"))</f>
        <v/>
      </c>
      <c r="AY127" s="22">
        <f>IF($A127="","",COUNTIFS('契約'!$C$4:$C$200,$A127,'契約'!$O$4:$O$200,"留保"))</f>
        <v/>
      </c>
    </row>
    <row r="128">
      <c r="A128" s="17" t="n"/>
      <c r="B128" s="17" t="n"/>
      <c r="C128" s="17" t="n"/>
      <c r="D128" s="17" t="n"/>
      <c r="E128" s="17" t="n"/>
      <c r="F128" s="17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9">
        <f>IF(COUNT(G128:R128)=0,"",SUM(G128:R128))</f>
        <v/>
      </c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9">
        <f>IF(COUNT(T128:AE128)=0,"",SUM(T128:AE128))</f>
        <v/>
      </c>
      <c r="AG128" s="17" t="n"/>
      <c r="AH128" s="17" t="n"/>
      <c r="AI128" s="17" t="n"/>
      <c r="AJ128" s="17" t="n"/>
      <c r="AK128" s="17" t="n"/>
      <c r="AL128" s="22">
        <f>IF($A128="","",IF(OR(AM128="移管",AN128="移管"),"移管",IF(OR(AM128="一部",AN128="一部"),"一部",IF(OR(AM128="判定保留",AN128="判定保留"),"判定保留",IF(OR(AM128="留保",AN128="留保"),"留保","対象外")))))</f>
        <v/>
      </c>
      <c r="AM128" s="22">
        <f>IF($A128="","",IF(AU128=0,"対象外",IF(AV128=AU128,"移管",IF(AV128+AW128&gt;0,"一部",IF(AX128&gt;0,"判定保留",IF(AY128&gt;0,"留保","対象外"))))))</f>
        <v/>
      </c>
      <c r="AN128" s="22">
        <f>IF($A128="","",IF((AO128+AS128+AT128)=0,"対象外",IF(AP128=(AO128+AS128+AT128),"移管",IF(AP128&gt;0,"一部",IF(AR128+AT128&gt;0,"判定保留",IF(AQ128+AS128&gt;0,"留保","対象外"))))))</f>
        <v/>
      </c>
      <c r="AO128" s="22">
        <f>IF($A128="","",SUMPRODUCT((COUNTIFS('紐付け'!$A$4:$A$200,$A128,'紐付け'!$C$4:$C$200,'業務'!$C$4:$C$200)&gt;0)*('業務'!$A$4:$A$200&lt;&gt;"")))</f>
        <v/>
      </c>
      <c r="AP128" s="22">
        <f>IF($A128="","",SUMPRODUCT((COUNTIFS('紐付け'!$A$4:$A$200,$A128,'紐付け'!$C$4:$C$200,'業務'!$C$4:$C$200)&gt;0)*('業務'!$A$4:$A$200&lt;&gt;"")*('業務'!$P$4:$P$200="移管")))</f>
        <v/>
      </c>
      <c r="AQ128" s="22">
        <f>IF($A128="","",SUMPRODUCT((COUNTIFS('紐付け'!$A$4:$A$200,$A128,'紐付け'!$C$4:$C$200,'業務'!$C$4:$C$200)&gt;0)*('業務'!$A$4:$A$200&lt;&gt;"")*('業務'!$P$4:$P$200="留保")))</f>
        <v/>
      </c>
      <c r="AR128" s="22">
        <f>IF($A128="","",AO128-AP128-AQ128)</f>
        <v/>
      </c>
      <c r="AS128" s="22">
        <f>IF($A128="","",SUMPRODUCT(('紐付け'!$A$4:$A$200=$A128)*('紐付け'!$C$4:$C$200&lt;&gt;"")*(COUNTIF('業務'!$C$4:$C$200,'紐付け'!$C$4:$C$200)=0)*(COUNTIFS('システム'!$A$4:$A$200,'紐付け'!$C$4:$C$200,'システム'!$N$4:$N$200,"留保")&gt;0)))</f>
        <v/>
      </c>
      <c r="AT128" s="22">
        <f>IF($A128="","",SUMPRODUCT(('紐付け'!$A$4:$A$200=$A128)*('紐付け'!$C$4:$C$200&lt;&gt;"")*(COUNTIF('業務'!$C$4:$C$200,'紐付け'!$C$4:$C$200)=0))-AS128)</f>
        <v/>
      </c>
      <c r="AU128" s="22">
        <f>IF($A128="","",COUNTIF('契約'!$C$4:$C$200,$A128))</f>
        <v/>
      </c>
      <c r="AV128" s="22">
        <f>IF($A128="","",COUNTIFS('契約'!$C$4:$C$200,$A128,'契約'!$O$4:$O$200,"移管"))</f>
        <v/>
      </c>
      <c r="AW128" s="22">
        <f>IF($A128="","",COUNTIFS('契約'!$C$4:$C$200,$A128,'契約'!$O$4:$O$200,"一部"))</f>
        <v/>
      </c>
      <c r="AX128" s="22">
        <f>IF($A128="","",COUNTIFS('契約'!$C$4:$C$200,$A128,'契約'!$O$4:$O$200,"判定保留"))</f>
        <v/>
      </c>
      <c r="AY128" s="22">
        <f>IF($A128="","",COUNTIFS('契約'!$C$4:$C$200,$A128,'契約'!$O$4:$O$200,"留保"))</f>
        <v/>
      </c>
    </row>
    <row r="129">
      <c r="A129" s="17" t="n"/>
      <c r="B129" s="17" t="n"/>
      <c r="C129" s="17" t="n"/>
      <c r="D129" s="17" t="n"/>
      <c r="E129" s="17" t="n"/>
      <c r="F129" s="17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9">
        <f>IF(COUNT(G129:R129)=0,"",SUM(G129:R129))</f>
        <v/>
      </c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9">
        <f>IF(COUNT(T129:AE129)=0,"",SUM(T129:AE129))</f>
        <v/>
      </c>
      <c r="AG129" s="17" t="n"/>
      <c r="AH129" s="17" t="n"/>
      <c r="AI129" s="17" t="n"/>
      <c r="AJ129" s="17" t="n"/>
      <c r="AK129" s="17" t="n"/>
      <c r="AL129" s="22">
        <f>IF($A129="","",IF(OR(AM129="移管",AN129="移管"),"移管",IF(OR(AM129="一部",AN129="一部"),"一部",IF(OR(AM129="判定保留",AN129="判定保留"),"判定保留",IF(OR(AM129="留保",AN129="留保"),"留保","対象外")))))</f>
        <v/>
      </c>
      <c r="AM129" s="22">
        <f>IF($A129="","",IF(AU129=0,"対象外",IF(AV129=AU129,"移管",IF(AV129+AW129&gt;0,"一部",IF(AX129&gt;0,"判定保留",IF(AY129&gt;0,"留保","対象外"))))))</f>
        <v/>
      </c>
      <c r="AN129" s="22">
        <f>IF($A129="","",IF((AO129+AS129+AT129)=0,"対象外",IF(AP129=(AO129+AS129+AT129),"移管",IF(AP129&gt;0,"一部",IF(AR129+AT129&gt;0,"判定保留",IF(AQ129+AS129&gt;0,"留保","対象外"))))))</f>
        <v/>
      </c>
      <c r="AO129" s="22">
        <f>IF($A129="","",SUMPRODUCT((COUNTIFS('紐付け'!$A$4:$A$200,$A129,'紐付け'!$C$4:$C$200,'業務'!$C$4:$C$200)&gt;0)*('業務'!$A$4:$A$200&lt;&gt;"")))</f>
        <v/>
      </c>
      <c r="AP129" s="22">
        <f>IF($A129="","",SUMPRODUCT((COUNTIFS('紐付け'!$A$4:$A$200,$A129,'紐付け'!$C$4:$C$200,'業務'!$C$4:$C$200)&gt;0)*('業務'!$A$4:$A$200&lt;&gt;"")*('業務'!$P$4:$P$200="移管")))</f>
        <v/>
      </c>
      <c r="AQ129" s="22">
        <f>IF($A129="","",SUMPRODUCT((COUNTIFS('紐付け'!$A$4:$A$200,$A129,'紐付け'!$C$4:$C$200,'業務'!$C$4:$C$200)&gt;0)*('業務'!$A$4:$A$200&lt;&gt;"")*('業務'!$P$4:$P$200="留保")))</f>
        <v/>
      </c>
      <c r="AR129" s="22">
        <f>IF($A129="","",AO129-AP129-AQ129)</f>
        <v/>
      </c>
      <c r="AS129" s="22">
        <f>IF($A129="","",SUMPRODUCT(('紐付け'!$A$4:$A$200=$A129)*('紐付け'!$C$4:$C$200&lt;&gt;"")*(COUNTIF('業務'!$C$4:$C$200,'紐付け'!$C$4:$C$200)=0)*(COUNTIFS('システム'!$A$4:$A$200,'紐付け'!$C$4:$C$200,'システム'!$N$4:$N$200,"留保")&gt;0)))</f>
        <v/>
      </c>
      <c r="AT129" s="22">
        <f>IF($A129="","",SUMPRODUCT(('紐付け'!$A$4:$A$200=$A129)*('紐付け'!$C$4:$C$200&lt;&gt;"")*(COUNTIF('業務'!$C$4:$C$200,'紐付け'!$C$4:$C$200)=0))-AS129)</f>
        <v/>
      </c>
      <c r="AU129" s="22">
        <f>IF($A129="","",COUNTIF('契約'!$C$4:$C$200,$A129))</f>
        <v/>
      </c>
      <c r="AV129" s="22">
        <f>IF($A129="","",COUNTIFS('契約'!$C$4:$C$200,$A129,'契約'!$O$4:$O$200,"移管"))</f>
        <v/>
      </c>
      <c r="AW129" s="22">
        <f>IF($A129="","",COUNTIFS('契約'!$C$4:$C$200,$A129,'契約'!$O$4:$O$200,"一部"))</f>
        <v/>
      </c>
      <c r="AX129" s="22">
        <f>IF($A129="","",COUNTIFS('契約'!$C$4:$C$200,$A129,'契約'!$O$4:$O$200,"判定保留"))</f>
        <v/>
      </c>
      <c r="AY129" s="22">
        <f>IF($A129="","",COUNTIFS('契約'!$C$4:$C$200,$A129,'契約'!$O$4:$O$200,"留保"))</f>
        <v/>
      </c>
    </row>
    <row r="130">
      <c r="A130" s="17" t="n"/>
      <c r="B130" s="17" t="n"/>
      <c r="C130" s="17" t="n"/>
      <c r="D130" s="17" t="n"/>
      <c r="E130" s="17" t="n"/>
      <c r="F130" s="17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9">
        <f>IF(COUNT(G130:R130)=0,"",SUM(G130:R130))</f>
        <v/>
      </c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9">
        <f>IF(COUNT(T130:AE130)=0,"",SUM(T130:AE130))</f>
        <v/>
      </c>
      <c r="AG130" s="17" t="n"/>
      <c r="AH130" s="17" t="n"/>
      <c r="AI130" s="17" t="n"/>
      <c r="AJ130" s="17" t="n"/>
      <c r="AK130" s="17" t="n"/>
      <c r="AL130" s="22">
        <f>IF($A130="","",IF(OR(AM130="移管",AN130="移管"),"移管",IF(OR(AM130="一部",AN130="一部"),"一部",IF(OR(AM130="判定保留",AN130="判定保留"),"判定保留",IF(OR(AM130="留保",AN130="留保"),"留保","対象外")))))</f>
        <v/>
      </c>
      <c r="AM130" s="22">
        <f>IF($A130="","",IF(AU130=0,"対象外",IF(AV130=AU130,"移管",IF(AV130+AW130&gt;0,"一部",IF(AX130&gt;0,"判定保留",IF(AY130&gt;0,"留保","対象外"))))))</f>
        <v/>
      </c>
      <c r="AN130" s="22">
        <f>IF($A130="","",IF((AO130+AS130+AT130)=0,"対象外",IF(AP130=(AO130+AS130+AT130),"移管",IF(AP130&gt;0,"一部",IF(AR130+AT130&gt;0,"判定保留",IF(AQ130+AS130&gt;0,"留保","対象外"))))))</f>
        <v/>
      </c>
      <c r="AO130" s="22">
        <f>IF($A130="","",SUMPRODUCT((COUNTIFS('紐付け'!$A$4:$A$200,$A130,'紐付け'!$C$4:$C$200,'業務'!$C$4:$C$200)&gt;0)*('業務'!$A$4:$A$200&lt;&gt;"")))</f>
        <v/>
      </c>
      <c r="AP130" s="22">
        <f>IF($A130="","",SUMPRODUCT((COUNTIFS('紐付け'!$A$4:$A$200,$A130,'紐付け'!$C$4:$C$200,'業務'!$C$4:$C$200)&gt;0)*('業務'!$A$4:$A$200&lt;&gt;"")*('業務'!$P$4:$P$200="移管")))</f>
        <v/>
      </c>
      <c r="AQ130" s="22">
        <f>IF($A130="","",SUMPRODUCT((COUNTIFS('紐付け'!$A$4:$A$200,$A130,'紐付け'!$C$4:$C$200,'業務'!$C$4:$C$200)&gt;0)*('業務'!$A$4:$A$200&lt;&gt;"")*('業務'!$P$4:$P$200="留保")))</f>
        <v/>
      </c>
      <c r="AR130" s="22">
        <f>IF($A130="","",AO130-AP130-AQ130)</f>
        <v/>
      </c>
      <c r="AS130" s="22">
        <f>IF($A130="","",SUMPRODUCT(('紐付け'!$A$4:$A$200=$A130)*('紐付け'!$C$4:$C$200&lt;&gt;"")*(COUNTIF('業務'!$C$4:$C$200,'紐付け'!$C$4:$C$200)=0)*(COUNTIFS('システム'!$A$4:$A$200,'紐付け'!$C$4:$C$200,'システム'!$N$4:$N$200,"留保")&gt;0)))</f>
        <v/>
      </c>
      <c r="AT130" s="22">
        <f>IF($A130="","",SUMPRODUCT(('紐付け'!$A$4:$A$200=$A130)*('紐付け'!$C$4:$C$200&lt;&gt;"")*(COUNTIF('業務'!$C$4:$C$200,'紐付け'!$C$4:$C$200)=0))-AS130)</f>
        <v/>
      </c>
      <c r="AU130" s="22">
        <f>IF($A130="","",COUNTIF('契約'!$C$4:$C$200,$A130))</f>
        <v/>
      </c>
      <c r="AV130" s="22">
        <f>IF($A130="","",COUNTIFS('契約'!$C$4:$C$200,$A130,'契約'!$O$4:$O$200,"移管"))</f>
        <v/>
      </c>
      <c r="AW130" s="22">
        <f>IF($A130="","",COUNTIFS('契約'!$C$4:$C$200,$A130,'契約'!$O$4:$O$200,"一部"))</f>
        <v/>
      </c>
      <c r="AX130" s="22">
        <f>IF($A130="","",COUNTIFS('契約'!$C$4:$C$200,$A130,'契約'!$O$4:$O$200,"判定保留"))</f>
        <v/>
      </c>
      <c r="AY130" s="22">
        <f>IF($A130="","",COUNTIFS('契約'!$C$4:$C$200,$A130,'契約'!$O$4:$O$200,"留保"))</f>
        <v/>
      </c>
    </row>
    <row r="131">
      <c r="A131" s="17" t="n"/>
      <c r="B131" s="17" t="n"/>
      <c r="C131" s="17" t="n"/>
      <c r="D131" s="17" t="n"/>
      <c r="E131" s="17" t="n"/>
      <c r="F131" s="17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9">
        <f>IF(COUNT(G131:R131)=0,"",SUM(G131:R131))</f>
        <v/>
      </c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9">
        <f>IF(COUNT(T131:AE131)=0,"",SUM(T131:AE131))</f>
        <v/>
      </c>
      <c r="AG131" s="17" t="n"/>
      <c r="AH131" s="17" t="n"/>
      <c r="AI131" s="17" t="n"/>
      <c r="AJ131" s="17" t="n"/>
      <c r="AK131" s="17" t="n"/>
      <c r="AL131" s="22">
        <f>IF($A131="","",IF(OR(AM131="移管",AN131="移管"),"移管",IF(OR(AM131="一部",AN131="一部"),"一部",IF(OR(AM131="判定保留",AN131="判定保留"),"判定保留",IF(OR(AM131="留保",AN131="留保"),"留保","対象外")))))</f>
        <v/>
      </c>
      <c r="AM131" s="22">
        <f>IF($A131="","",IF(AU131=0,"対象外",IF(AV131=AU131,"移管",IF(AV131+AW131&gt;0,"一部",IF(AX131&gt;0,"判定保留",IF(AY131&gt;0,"留保","対象外"))))))</f>
        <v/>
      </c>
      <c r="AN131" s="22">
        <f>IF($A131="","",IF((AO131+AS131+AT131)=0,"対象外",IF(AP131=(AO131+AS131+AT131),"移管",IF(AP131&gt;0,"一部",IF(AR131+AT131&gt;0,"判定保留",IF(AQ131+AS131&gt;0,"留保","対象外"))))))</f>
        <v/>
      </c>
      <c r="AO131" s="22">
        <f>IF($A131="","",SUMPRODUCT((COUNTIFS('紐付け'!$A$4:$A$200,$A131,'紐付け'!$C$4:$C$200,'業務'!$C$4:$C$200)&gt;0)*('業務'!$A$4:$A$200&lt;&gt;"")))</f>
        <v/>
      </c>
      <c r="AP131" s="22">
        <f>IF($A131="","",SUMPRODUCT((COUNTIFS('紐付け'!$A$4:$A$200,$A131,'紐付け'!$C$4:$C$200,'業務'!$C$4:$C$200)&gt;0)*('業務'!$A$4:$A$200&lt;&gt;"")*('業務'!$P$4:$P$200="移管")))</f>
        <v/>
      </c>
      <c r="AQ131" s="22">
        <f>IF($A131="","",SUMPRODUCT((COUNTIFS('紐付け'!$A$4:$A$200,$A131,'紐付け'!$C$4:$C$200,'業務'!$C$4:$C$200)&gt;0)*('業務'!$A$4:$A$200&lt;&gt;"")*('業務'!$P$4:$P$200="留保")))</f>
        <v/>
      </c>
      <c r="AR131" s="22">
        <f>IF($A131="","",AO131-AP131-AQ131)</f>
        <v/>
      </c>
      <c r="AS131" s="22">
        <f>IF($A131="","",SUMPRODUCT(('紐付け'!$A$4:$A$200=$A131)*('紐付け'!$C$4:$C$200&lt;&gt;"")*(COUNTIF('業務'!$C$4:$C$200,'紐付け'!$C$4:$C$200)=0)*(COUNTIFS('システム'!$A$4:$A$200,'紐付け'!$C$4:$C$200,'システム'!$N$4:$N$200,"留保")&gt;0)))</f>
        <v/>
      </c>
      <c r="AT131" s="22">
        <f>IF($A131="","",SUMPRODUCT(('紐付け'!$A$4:$A$200=$A131)*('紐付け'!$C$4:$C$200&lt;&gt;"")*(COUNTIF('業務'!$C$4:$C$200,'紐付け'!$C$4:$C$200)=0))-AS131)</f>
        <v/>
      </c>
      <c r="AU131" s="22">
        <f>IF($A131="","",COUNTIF('契約'!$C$4:$C$200,$A131))</f>
        <v/>
      </c>
      <c r="AV131" s="22">
        <f>IF($A131="","",COUNTIFS('契約'!$C$4:$C$200,$A131,'契約'!$O$4:$O$200,"移管"))</f>
        <v/>
      </c>
      <c r="AW131" s="22">
        <f>IF($A131="","",COUNTIFS('契約'!$C$4:$C$200,$A131,'契約'!$O$4:$O$200,"一部"))</f>
        <v/>
      </c>
      <c r="AX131" s="22">
        <f>IF($A131="","",COUNTIFS('契約'!$C$4:$C$200,$A131,'契約'!$O$4:$O$200,"判定保留"))</f>
        <v/>
      </c>
      <c r="AY131" s="22">
        <f>IF($A131="","",COUNTIFS('契約'!$C$4:$C$200,$A131,'契約'!$O$4:$O$200,"留保"))</f>
        <v/>
      </c>
    </row>
    <row r="132">
      <c r="A132" s="17" t="n"/>
      <c r="B132" s="17" t="n"/>
      <c r="C132" s="17" t="n"/>
      <c r="D132" s="17" t="n"/>
      <c r="E132" s="17" t="n"/>
      <c r="F132" s="17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9">
        <f>IF(COUNT(G132:R132)=0,"",SUM(G132:R132))</f>
        <v/>
      </c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9">
        <f>IF(COUNT(T132:AE132)=0,"",SUM(T132:AE132))</f>
        <v/>
      </c>
      <c r="AG132" s="17" t="n"/>
      <c r="AH132" s="17" t="n"/>
      <c r="AI132" s="17" t="n"/>
      <c r="AJ132" s="17" t="n"/>
      <c r="AK132" s="17" t="n"/>
      <c r="AL132" s="22">
        <f>IF($A132="","",IF(OR(AM132="移管",AN132="移管"),"移管",IF(OR(AM132="一部",AN132="一部"),"一部",IF(OR(AM132="判定保留",AN132="判定保留"),"判定保留",IF(OR(AM132="留保",AN132="留保"),"留保","対象外")))))</f>
        <v/>
      </c>
      <c r="AM132" s="22">
        <f>IF($A132="","",IF(AU132=0,"対象外",IF(AV132=AU132,"移管",IF(AV132+AW132&gt;0,"一部",IF(AX132&gt;0,"判定保留",IF(AY132&gt;0,"留保","対象外"))))))</f>
        <v/>
      </c>
      <c r="AN132" s="22">
        <f>IF($A132="","",IF((AO132+AS132+AT132)=0,"対象外",IF(AP132=(AO132+AS132+AT132),"移管",IF(AP132&gt;0,"一部",IF(AR132+AT132&gt;0,"判定保留",IF(AQ132+AS132&gt;0,"留保","対象外"))))))</f>
        <v/>
      </c>
      <c r="AO132" s="22">
        <f>IF($A132="","",SUMPRODUCT((COUNTIFS('紐付け'!$A$4:$A$200,$A132,'紐付け'!$C$4:$C$200,'業務'!$C$4:$C$200)&gt;0)*('業務'!$A$4:$A$200&lt;&gt;"")))</f>
        <v/>
      </c>
      <c r="AP132" s="22">
        <f>IF($A132="","",SUMPRODUCT((COUNTIFS('紐付け'!$A$4:$A$200,$A132,'紐付け'!$C$4:$C$200,'業務'!$C$4:$C$200)&gt;0)*('業務'!$A$4:$A$200&lt;&gt;"")*('業務'!$P$4:$P$200="移管")))</f>
        <v/>
      </c>
      <c r="AQ132" s="22">
        <f>IF($A132="","",SUMPRODUCT((COUNTIFS('紐付け'!$A$4:$A$200,$A132,'紐付け'!$C$4:$C$200,'業務'!$C$4:$C$200)&gt;0)*('業務'!$A$4:$A$200&lt;&gt;"")*('業務'!$P$4:$P$200="留保")))</f>
        <v/>
      </c>
      <c r="AR132" s="22">
        <f>IF($A132="","",AO132-AP132-AQ132)</f>
        <v/>
      </c>
      <c r="AS132" s="22">
        <f>IF($A132="","",SUMPRODUCT(('紐付け'!$A$4:$A$200=$A132)*('紐付け'!$C$4:$C$200&lt;&gt;"")*(COUNTIF('業務'!$C$4:$C$200,'紐付け'!$C$4:$C$200)=0)*(COUNTIFS('システム'!$A$4:$A$200,'紐付け'!$C$4:$C$200,'システム'!$N$4:$N$200,"留保")&gt;0)))</f>
        <v/>
      </c>
      <c r="AT132" s="22">
        <f>IF($A132="","",SUMPRODUCT(('紐付け'!$A$4:$A$200=$A132)*('紐付け'!$C$4:$C$200&lt;&gt;"")*(COUNTIF('業務'!$C$4:$C$200,'紐付け'!$C$4:$C$200)=0))-AS132)</f>
        <v/>
      </c>
      <c r="AU132" s="22">
        <f>IF($A132="","",COUNTIF('契約'!$C$4:$C$200,$A132))</f>
        <v/>
      </c>
      <c r="AV132" s="22">
        <f>IF($A132="","",COUNTIFS('契約'!$C$4:$C$200,$A132,'契約'!$O$4:$O$200,"移管"))</f>
        <v/>
      </c>
      <c r="AW132" s="22">
        <f>IF($A132="","",COUNTIFS('契約'!$C$4:$C$200,$A132,'契約'!$O$4:$O$200,"一部"))</f>
        <v/>
      </c>
      <c r="AX132" s="22">
        <f>IF($A132="","",COUNTIFS('契約'!$C$4:$C$200,$A132,'契約'!$O$4:$O$200,"判定保留"))</f>
        <v/>
      </c>
      <c r="AY132" s="22">
        <f>IF($A132="","",COUNTIFS('契約'!$C$4:$C$200,$A132,'契約'!$O$4:$O$200,"留保"))</f>
        <v/>
      </c>
    </row>
    <row r="133">
      <c r="A133" s="17" t="n"/>
      <c r="B133" s="17" t="n"/>
      <c r="C133" s="17" t="n"/>
      <c r="D133" s="17" t="n"/>
      <c r="E133" s="17" t="n"/>
      <c r="F133" s="17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9">
        <f>IF(COUNT(G133:R133)=0,"",SUM(G133:R133))</f>
        <v/>
      </c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9">
        <f>IF(COUNT(T133:AE133)=0,"",SUM(T133:AE133))</f>
        <v/>
      </c>
      <c r="AG133" s="17" t="n"/>
      <c r="AH133" s="17" t="n"/>
      <c r="AI133" s="17" t="n"/>
      <c r="AJ133" s="17" t="n"/>
      <c r="AK133" s="17" t="n"/>
      <c r="AL133" s="22">
        <f>IF($A133="","",IF(OR(AM133="移管",AN133="移管"),"移管",IF(OR(AM133="一部",AN133="一部"),"一部",IF(OR(AM133="判定保留",AN133="判定保留"),"判定保留",IF(OR(AM133="留保",AN133="留保"),"留保","対象外")))))</f>
        <v/>
      </c>
      <c r="AM133" s="22">
        <f>IF($A133="","",IF(AU133=0,"対象外",IF(AV133=AU133,"移管",IF(AV133+AW133&gt;0,"一部",IF(AX133&gt;0,"判定保留",IF(AY133&gt;0,"留保","対象外"))))))</f>
        <v/>
      </c>
      <c r="AN133" s="22">
        <f>IF($A133="","",IF((AO133+AS133+AT133)=0,"対象外",IF(AP133=(AO133+AS133+AT133),"移管",IF(AP133&gt;0,"一部",IF(AR133+AT133&gt;0,"判定保留",IF(AQ133+AS133&gt;0,"留保","対象外"))))))</f>
        <v/>
      </c>
      <c r="AO133" s="22">
        <f>IF($A133="","",SUMPRODUCT((COUNTIFS('紐付け'!$A$4:$A$200,$A133,'紐付け'!$C$4:$C$200,'業務'!$C$4:$C$200)&gt;0)*('業務'!$A$4:$A$200&lt;&gt;"")))</f>
        <v/>
      </c>
      <c r="AP133" s="22">
        <f>IF($A133="","",SUMPRODUCT((COUNTIFS('紐付け'!$A$4:$A$200,$A133,'紐付け'!$C$4:$C$200,'業務'!$C$4:$C$200)&gt;0)*('業務'!$A$4:$A$200&lt;&gt;"")*('業務'!$P$4:$P$200="移管")))</f>
        <v/>
      </c>
      <c r="AQ133" s="22">
        <f>IF($A133="","",SUMPRODUCT((COUNTIFS('紐付け'!$A$4:$A$200,$A133,'紐付け'!$C$4:$C$200,'業務'!$C$4:$C$200)&gt;0)*('業務'!$A$4:$A$200&lt;&gt;"")*('業務'!$P$4:$P$200="留保")))</f>
        <v/>
      </c>
      <c r="AR133" s="22">
        <f>IF($A133="","",AO133-AP133-AQ133)</f>
        <v/>
      </c>
      <c r="AS133" s="22">
        <f>IF($A133="","",SUMPRODUCT(('紐付け'!$A$4:$A$200=$A133)*('紐付け'!$C$4:$C$200&lt;&gt;"")*(COUNTIF('業務'!$C$4:$C$200,'紐付け'!$C$4:$C$200)=0)*(COUNTIFS('システム'!$A$4:$A$200,'紐付け'!$C$4:$C$200,'システム'!$N$4:$N$200,"留保")&gt;0)))</f>
        <v/>
      </c>
      <c r="AT133" s="22">
        <f>IF($A133="","",SUMPRODUCT(('紐付け'!$A$4:$A$200=$A133)*('紐付け'!$C$4:$C$200&lt;&gt;"")*(COUNTIF('業務'!$C$4:$C$200,'紐付け'!$C$4:$C$200)=0))-AS133)</f>
        <v/>
      </c>
      <c r="AU133" s="22">
        <f>IF($A133="","",COUNTIF('契約'!$C$4:$C$200,$A133))</f>
        <v/>
      </c>
      <c r="AV133" s="22">
        <f>IF($A133="","",COUNTIFS('契約'!$C$4:$C$200,$A133,'契約'!$O$4:$O$200,"移管"))</f>
        <v/>
      </c>
      <c r="AW133" s="22">
        <f>IF($A133="","",COUNTIFS('契約'!$C$4:$C$200,$A133,'契約'!$O$4:$O$200,"一部"))</f>
        <v/>
      </c>
      <c r="AX133" s="22">
        <f>IF($A133="","",COUNTIFS('契約'!$C$4:$C$200,$A133,'契約'!$O$4:$O$200,"判定保留"))</f>
        <v/>
      </c>
      <c r="AY133" s="22">
        <f>IF($A133="","",COUNTIFS('契約'!$C$4:$C$200,$A133,'契約'!$O$4:$O$200,"留保"))</f>
        <v/>
      </c>
    </row>
    <row r="134">
      <c r="A134" s="17" t="n"/>
      <c r="B134" s="17" t="n"/>
      <c r="C134" s="17" t="n"/>
      <c r="D134" s="17" t="n"/>
      <c r="E134" s="17" t="n"/>
      <c r="F134" s="17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9">
        <f>IF(COUNT(G134:R134)=0,"",SUM(G134:R134))</f>
        <v/>
      </c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9">
        <f>IF(COUNT(T134:AE134)=0,"",SUM(T134:AE134))</f>
        <v/>
      </c>
      <c r="AG134" s="17" t="n"/>
      <c r="AH134" s="17" t="n"/>
      <c r="AI134" s="17" t="n"/>
      <c r="AJ134" s="17" t="n"/>
      <c r="AK134" s="17" t="n"/>
      <c r="AL134" s="22">
        <f>IF($A134="","",IF(OR(AM134="移管",AN134="移管"),"移管",IF(OR(AM134="一部",AN134="一部"),"一部",IF(OR(AM134="判定保留",AN134="判定保留"),"判定保留",IF(OR(AM134="留保",AN134="留保"),"留保","対象外")))))</f>
        <v/>
      </c>
      <c r="AM134" s="22">
        <f>IF($A134="","",IF(AU134=0,"対象外",IF(AV134=AU134,"移管",IF(AV134+AW134&gt;0,"一部",IF(AX134&gt;0,"判定保留",IF(AY134&gt;0,"留保","対象外"))))))</f>
        <v/>
      </c>
      <c r="AN134" s="22">
        <f>IF($A134="","",IF((AO134+AS134+AT134)=0,"対象外",IF(AP134=(AO134+AS134+AT134),"移管",IF(AP134&gt;0,"一部",IF(AR134+AT134&gt;0,"判定保留",IF(AQ134+AS134&gt;0,"留保","対象外"))))))</f>
        <v/>
      </c>
      <c r="AO134" s="22">
        <f>IF($A134="","",SUMPRODUCT((COUNTIFS('紐付け'!$A$4:$A$200,$A134,'紐付け'!$C$4:$C$200,'業務'!$C$4:$C$200)&gt;0)*('業務'!$A$4:$A$200&lt;&gt;"")))</f>
        <v/>
      </c>
      <c r="AP134" s="22">
        <f>IF($A134="","",SUMPRODUCT((COUNTIFS('紐付け'!$A$4:$A$200,$A134,'紐付け'!$C$4:$C$200,'業務'!$C$4:$C$200)&gt;0)*('業務'!$A$4:$A$200&lt;&gt;"")*('業務'!$P$4:$P$200="移管")))</f>
        <v/>
      </c>
      <c r="AQ134" s="22">
        <f>IF($A134="","",SUMPRODUCT((COUNTIFS('紐付け'!$A$4:$A$200,$A134,'紐付け'!$C$4:$C$200,'業務'!$C$4:$C$200)&gt;0)*('業務'!$A$4:$A$200&lt;&gt;"")*('業務'!$P$4:$P$200="留保")))</f>
        <v/>
      </c>
      <c r="AR134" s="22">
        <f>IF($A134="","",AO134-AP134-AQ134)</f>
        <v/>
      </c>
      <c r="AS134" s="22">
        <f>IF($A134="","",SUMPRODUCT(('紐付け'!$A$4:$A$200=$A134)*('紐付け'!$C$4:$C$200&lt;&gt;"")*(COUNTIF('業務'!$C$4:$C$200,'紐付け'!$C$4:$C$200)=0)*(COUNTIFS('システム'!$A$4:$A$200,'紐付け'!$C$4:$C$200,'システム'!$N$4:$N$200,"留保")&gt;0)))</f>
        <v/>
      </c>
      <c r="AT134" s="22">
        <f>IF($A134="","",SUMPRODUCT(('紐付け'!$A$4:$A$200=$A134)*('紐付け'!$C$4:$C$200&lt;&gt;"")*(COUNTIF('業務'!$C$4:$C$200,'紐付け'!$C$4:$C$200)=0))-AS134)</f>
        <v/>
      </c>
      <c r="AU134" s="22">
        <f>IF($A134="","",COUNTIF('契約'!$C$4:$C$200,$A134))</f>
        <v/>
      </c>
      <c r="AV134" s="22">
        <f>IF($A134="","",COUNTIFS('契約'!$C$4:$C$200,$A134,'契約'!$O$4:$O$200,"移管"))</f>
        <v/>
      </c>
      <c r="AW134" s="22">
        <f>IF($A134="","",COUNTIFS('契約'!$C$4:$C$200,$A134,'契約'!$O$4:$O$200,"一部"))</f>
        <v/>
      </c>
      <c r="AX134" s="22">
        <f>IF($A134="","",COUNTIFS('契約'!$C$4:$C$200,$A134,'契約'!$O$4:$O$200,"判定保留"))</f>
        <v/>
      </c>
      <c r="AY134" s="22">
        <f>IF($A134="","",COUNTIFS('契約'!$C$4:$C$200,$A134,'契約'!$O$4:$O$200,"留保"))</f>
        <v/>
      </c>
    </row>
    <row r="135">
      <c r="A135" s="17" t="n"/>
      <c r="B135" s="17" t="n"/>
      <c r="C135" s="17" t="n"/>
      <c r="D135" s="17" t="n"/>
      <c r="E135" s="17" t="n"/>
      <c r="F135" s="17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9">
        <f>IF(COUNT(G135:R135)=0,"",SUM(G135:R135))</f>
        <v/>
      </c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9">
        <f>IF(COUNT(T135:AE135)=0,"",SUM(T135:AE135))</f>
        <v/>
      </c>
      <c r="AG135" s="17" t="n"/>
      <c r="AH135" s="17" t="n"/>
      <c r="AI135" s="17" t="n"/>
      <c r="AJ135" s="17" t="n"/>
      <c r="AK135" s="17" t="n"/>
      <c r="AL135" s="22">
        <f>IF($A135="","",IF(OR(AM135="移管",AN135="移管"),"移管",IF(OR(AM135="一部",AN135="一部"),"一部",IF(OR(AM135="判定保留",AN135="判定保留"),"判定保留",IF(OR(AM135="留保",AN135="留保"),"留保","対象外")))))</f>
        <v/>
      </c>
      <c r="AM135" s="22">
        <f>IF($A135="","",IF(AU135=0,"対象外",IF(AV135=AU135,"移管",IF(AV135+AW135&gt;0,"一部",IF(AX135&gt;0,"判定保留",IF(AY135&gt;0,"留保","対象外"))))))</f>
        <v/>
      </c>
      <c r="AN135" s="22">
        <f>IF($A135="","",IF((AO135+AS135+AT135)=0,"対象外",IF(AP135=(AO135+AS135+AT135),"移管",IF(AP135&gt;0,"一部",IF(AR135+AT135&gt;0,"判定保留",IF(AQ135+AS135&gt;0,"留保","対象外"))))))</f>
        <v/>
      </c>
      <c r="AO135" s="22">
        <f>IF($A135="","",SUMPRODUCT((COUNTIFS('紐付け'!$A$4:$A$200,$A135,'紐付け'!$C$4:$C$200,'業務'!$C$4:$C$200)&gt;0)*('業務'!$A$4:$A$200&lt;&gt;"")))</f>
        <v/>
      </c>
      <c r="AP135" s="22">
        <f>IF($A135="","",SUMPRODUCT((COUNTIFS('紐付け'!$A$4:$A$200,$A135,'紐付け'!$C$4:$C$200,'業務'!$C$4:$C$200)&gt;0)*('業務'!$A$4:$A$200&lt;&gt;"")*('業務'!$P$4:$P$200="移管")))</f>
        <v/>
      </c>
      <c r="AQ135" s="22">
        <f>IF($A135="","",SUMPRODUCT((COUNTIFS('紐付け'!$A$4:$A$200,$A135,'紐付け'!$C$4:$C$200,'業務'!$C$4:$C$200)&gt;0)*('業務'!$A$4:$A$200&lt;&gt;"")*('業務'!$P$4:$P$200="留保")))</f>
        <v/>
      </c>
      <c r="AR135" s="22">
        <f>IF($A135="","",AO135-AP135-AQ135)</f>
        <v/>
      </c>
      <c r="AS135" s="22">
        <f>IF($A135="","",SUMPRODUCT(('紐付け'!$A$4:$A$200=$A135)*('紐付け'!$C$4:$C$200&lt;&gt;"")*(COUNTIF('業務'!$C$4:$C$200,'紐付け'!$C$4:$C$200)=0)*(COUNTIFS('システム'!$A$4:$A$200,'紐付け'!$C$4:$C$200,'システム'!$N$4:$N$200,"留保")&gt;0)))</f>
        <v/>
      </c>
      <c r="AT135" s="22">
        <f>IF($A135="","",SUMPRODUCT(('紐付け'!$A$4:$A$200=$A135)*('紐付け'!$C$4:$C$200&lt;&gt;"")*(COUNTIF('業務'!$C$4:$C$200,'紐付け'!$C$4:$C$200)=0))-AS135)</f>
        <v/>
      </c>
      <c r="AU135" s="22">
        <f>IF($A135="","",COUNTIF('契約'!$C$4:$C$200,$A135))</f>
        <v/>
      </c>
      <c r="AV135" s="22">
        <f>IF($A135="","",COUNTIFS('契約'!$C$4:$C$200,$A135,'契約'!$O$4:$O$200,"移管"))</f>
        <v/>
      </c>
      <c r="AW135" s="22">
        <f>IF($A135="","",COUNTIFS('契約'!$C$4:$C$200,$A135,'契約'!$O$4:$O$200,"一部"))</f>
        <v/>
      </c>
      <c r="AX135" s="22">
        <f>IF($A135="","",COUNTIFS('契約'!$C$4:$C$200,$A135,'契約'!$O$4:$O$200,"判定保留"))</f>
        <v/>
      </c>
      <c r="AY135" s="22">
        <f>IF($A135="","",COUNTIFS('契約'!$C$4:$C$200,$A135,'契約'!$O$4:$O$200,"留保"))</f>
        <v/>
      </c>
    </row>
    <row r="136">
      <c r="A136" s="17" t="n"/>
      <c r="B136" s="17" t="n"/>
      <c r="C136" s="17" t="n"/>
      <c r="D136" s="17" t="n"/>
      <c r="E136" s="17" t="n"/>
      <c r="F136" s="17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9">
        <f>IF(COUNT(G136:R136)=0,"",SUM(G136:R136))</f>
        <v/>
      </c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9">
        <f>IF(COUNT(T136:AE136)=0,"",SUM(T136:AE136))</f>
        <v/>
      </c>
      <c r="AG136" s="17" t="n"/>
      <c r="AH136" s="17" t="n"/>
      <c r="AI136" s="17" t="n"/>
      <c r="AJ136" s="17" t="n"/>
      <c r="AK136" s="17" t="n"/>
      <c r="AL136" s="22">
        <f>IF($A136="","",IF(OR(AM136="移管",AN136="移管"),"移管",IF(OR(AM136="一部",AN136="一部"),"一部",IF(OR(AM136="判定保留",AN136="判定保留"),"判定保留",IF(OR(AM136="留保",AN136="留保"),"留保","対象外")))))</f>
        <v/>
      </c>
      <c r="AM136" s="22">
        <f>IF($A136="","",IF(AU136=0,"対象外",IF(AV136=AU136,"移管",IF(AV136+AW136&gt;0,"一部",IF(AX136&gt;0,"判定保留",IF(AY136&gt;0,"留保","対象外"))))))</f>
        <v/>
      </c>
      <c r="AN136" s="22">
        <f>IF($A136="","",IF((AO136+AS136+AT136)=0,"対象外",IF(AP136=(AO136+AS136+AT136),"移管",IF(AP136&gt;0,"一部",IF(AR136+AT136&gt;0,"判定保留",IF(AQ136+AS136&gt;0,"留保","対象外"))))))</f>
        <v/>
      </c>
      <c r="AO136" s="22">
        <f>IF($A136="","",SUMPRODUCT((COUNTIFS('紐付け'!$A$4:$A$200,$A136,'紐付け'!$C$4:$C$200,'業務'!$C$4:$C$200)&gt;0)*('業務'!$A$4:$A$200&lt;&gt;"")))</f>
        <v/>
      </c>
      <c r="AP136" s="22">
        <f>IF($A136="","",SUMPRODUCT((COUNTIFS('紐付け'!$A$4:$A$200,$A136,'紐付け'!$C$4:$C$200,'業務'!$C$4:$C$200)&gt;0)*('業務'!$A$4:$A$200&lt;&gt;"")*('業務'!$P$4:$P$200="移管")))</f>
        <v/>
      </c>
      <c r="AQ136" s="22">
        <f>IF($A136="","",SUMPRODUCT((COUNTIFS('紐付け'!$A$4:$A$200,$A136,'紐付け'!$C$4:$C$200,'業務'!$C$4:$C$200)&gt;0)*('業務'!$A$4:$A$200&lt;&gt;"")*('業務'!$P$4:$P$200="留保")))</f>
        <v/>
      </c>
      <c r="AR136" s="22">
        <f>IF($A136="","",AO136-AP136-AQ136)</f>
        <v/>
      </c>
      <c r="AS136" s="22">
        <f>IF($A136="","",SUMPRODUCT(('紐付け'!$A$4:$A$200=$A136)*('紐付け'!$C$4:$C$200&lt;&gt;"")*(COUNTIF('業務'!$C$4:$C$200,'紐付け'!$C$4:$C$200)=0)*(COUNTIFS('システム'!$A$4:$A$200,'紐付け'!$C$4:$C$200,'システム'!$N$4:$N$200,"留保")&gt;0)))</f>
        <v/>
      </c>
      <c r="AT136" s="22">
        <f>IF($A136="","",SUMPRODUCT(('紐付け'!$A$4:$A$200=$A136)*('紐付け'!$C$4:$C$200&lt;&gt;"")*(COUNTIF('業務'!$C$4:$C$200,'紐付け'!$C$4:$C$200)=0))-AS136)</f>
        <v/>
      </c>
      <c r="AU136" s="22">
        <f>IF($A136="","",COUNTIF('契約'!$C$4:$C$200,$A136))</f>
        <v/>
      </c>
      <c r="AV136" s="22">
        <f>IF($A136="","",COUNTIFS('契約'!$C$4:$C$200,$A136,'契約'!$O$4:$O$200,"移管"))</f>
        <v/>
      </c>
      <c r="AW136" s="22">
        <f>IF($A136="","",COUNTIFS('契約'!$C$4:$C$200,$A136,'契約'!$O$4:$O$200,"一部"))</f>
        <v/>
      </c>
      <c r="AX136" s="22">
        <f>IF($A136="","",COUNTIFS('契約'!$C$4:$C$200,$A136,'契約'!$O$4:$O$200,"判定保留"))</f>
        <v/>
      </c>
      <c r="AY136" s="22">
        <f>IF($A136="","",COUNTIFS('契約'!$C$4:$C$200,$A136,'契約'!$O$4:$O$200,"留保"))</f>
        <v/>
      </c>
    </row>
    <row r="137">
      <c r="A137" s="17" t="n"/>
      <c r="B137" s="17" t="n"/>
      <c r="C137" s="17" t="n"/>
      <c r="D137" s="17" t="n"/>
      <c r="E137" s="17" t="n"/>
      <c r="F137" s="17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9">
        <f>IF(COUNT(G137:R137)=0,"",SUM(G137:R137))</f>
        <v/>
      </c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9">
        <f>IF(COUNT(T137:AE137)=0,"",SUM(T137:AE137))</f>
        <v/>
      </c>
      <c r="AG137" s="17" t="n"/>
      <c r="AH137" s="17" t="n"/>
      <c r="AI137" s="17" t="n"/>
      <c r="AJ137" s="17" t="n"/>
      <c r="AK137" s="17" t="n"/>
      <c r="AL137" s="22">
        <f>IF($A137="","",IF(OR(AM137="移管",AN137="移管"),"移管",IF(OR(AM137="一部",AN137="一部"),"一部",IF(OR(AM137="判定保留",AN137="判定保留"),"判定保留",IF(OR(AM137="留保",AN137="留保"),"留保","対象外")))))</f>
        <v/>
      </c>
      <c r="AM137" s="22">
        <f>IF($A137="","",IF(AU137=0,"対象外",IF(AV137=AU137,"移管",IF(AV137+AW137&gt;0,"一部",IF(AX137&gt;0,"判定保留",IF(AY137&gt;0,"留保","対象外"))))))</f>
        <v/>
      </c>
      <c r="AN137" s="22">
        <f>IF($A137="","",IF((AO137+AS137+AT137)=0,"対象外",IF(AP137=(AO137+AS137+AT137),"移管",IF(AP137&gt;0,"一部",IF(AR137+AT137&gt;0,"判定保留",IF(AQ137+AS137&gt;0,"留保","対象外"))))))</f>
        <v/>
      </c>
      <c r="AO137" s="22">
        <f>IF($A137="","",SUMPRODUCT((COUNTIFS('紐付け'!$A$4:$A$200,$A137,'紐付け'!$C$4:$C$200,'業務'!$C$4:$C$200)&gt;0)*('業務'!$A$4:$A$200&lt;&gt;"")))</f>
        <v/>
      </c>
      <c r="AP137" s="22">
        <f>IF($A137="","",SUMPRODUCT((COUNTIFS('紐付け'!$A$4:$A$200,$A137,'紐付け'!$C$4:$C$200,'業務'!$C$4:$C$200)&gt;0)*('業務'!$A$4:$A$200&lt;&gt;"")*('業務'!$P$4:$P$200="移管")))</f>
        <v/>
      </c>
      <c r="AQ137" s="22">
        <f>IF($A137="","",SUMPRODUCT((COUNTIFS('紐付け'!$A$4:$A$200,$A137,'紐付け'!$C$4:$C$200,'業務'!$C$4:$C$200)&gt;0)*('業務'!$A$4:$A$200&lt;&gt;"")*('業務'!$P$4:$P$200="留保")))</f>
        <v/>
      </c>
      <c r="AR137" s="22">
        <f>IF($A137="","",AO137-AP137-AQ137)</f>
        <v/>
      </c>
      <c r="AS137" s="22">
        <f>IF($A137="","",SUMPRODUCT(('紐付け'!$A$4:$A$200=$A137)*('紐付け'!$C$4:$C$200&lt;&gt;"")*(COUNTIF('業務'!$C$4:$C$200,'紐付け'!$C$4:$C$200)=0)*(COUNTIFS('システム'!$A$4:$A$200,'紐付け'!$C$4:$C$200,'システム'!$N$4:$N$200,"留保")&gt;0)))</f>
        <v/>
      </c>
      <c r="AT137" s="22">
        <f>IF($A137="","",SUMPRODUCT(('紐付け'!$A$4:$A$200=$A137)*('紐付け'!$C$4:$C$200&lt;&gt;"")*(COUNTIF('業務'!$C$4:$C$200,'紐付け'!$C$4:$C$200)=0))-AS137)</f>
        <v/>
      </c>
      <c r="AU137" s="22">
        <f>IF($A137="","",COUNTIF('契約'!$C$4:$C$200,$A137))</f>
        <v/>
      </c>
      <c r="AV137" s="22">
        <f>IF($A137="","",COUNTIFS('契約'!$C$4:$C$200,$A137,'契約'!$O$4:$O$200,"移管"))</f>
        <v/>
      </c>
      <c r="AW137" s="22">
        <f>IF($A137="","",COUNTIFS('契約'!$C$4:$C$200,$A137,'契約'!$O$4:$O$200,"一部"))</f>
        <v/>
      </c>
      <c r="AX137" s="22">
        <f>IF($A137="","",COUNTIFS('契約'!$C$4:$C$200,$A137,'契約'!$O$4:$O$200,"判定保留"))</f>
        <v/>
      </c>
      <c r="AY137" s="22">
        <f>IF($A137="","",COUNTIFS('契約'!$C$4:$C$200,$A137,'契約'!$O$4:$O$200,"留保"))</f>
        <v/>
      </c>
    </row>
    <row r="138">
      <c r="A138" s="17" t="n"/>
      <c r="B138" s="17" t="n"/>
      <c r="C138" s="17" t="n"/>
      <c r="D138" s="17" t="n"/>
      <c r="E138" s="17" t="n"/>
      <c r="F138" s="17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9">
        <f>IF(COUNT(G138:R138)=0,"",SUM(G138:R138))</f>
        <v/>
      </c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9">
        <f>IF(COUNT(T138:AE138)=0,"",SUM(T138:AE138))</f>
        <v/>
      </c>
      <c r="AG138" s="17" t="n"/>
      <c r="AH138" s="17" t="n"/>
      <c r="AI138" s="17" t="n"/>
      <c r="AJ138" s="17" t="n"/>
      <c r="AK138" s="17" t="n"/>
      <c r="AL138" s="22">
        <f>IF($A138="","",IF(OR(AM138="移管",AN138="移管"),"移管",IF(OR(AM138="一部",AN138="一部"),"一部",IF(OR(AM138="判定保留",AN138="判定保留"),"判定保留",IF(OR(AM138="留保",AN138="留保"),"留保","対象外")))))</f>
        <v/>
      </c>
      <c r="AM138" s="22">
        <f>IF($A138="","",IF(AU138=0,"対象外",IF(AV138=AU138,"移管",IF(AV138+AW138&gt;0,"一部",IF(AX138&gt;0,"判定保留",IF(AY138&gt;0,"留保","対象外"))))))</f>
        <v/>
      </c>
      <c r="AN138" s="22">
        <f>IF($A138="","",IF((AO138+AS138+AT138)=0,"対象外",IF(AP138=(AO138+AS138+AT138),"移管",IF(AP138&gt;0,"一部",IF(AR138+AT138&gt;0,"判定保留",IF(AQ138+AS138&gt;0,"留保","対象外"))))))</f>
        <v/>
      </c>
      <c r="AO138" s="22">
        <f>IF($A138="","",SUMPRODUCT((COUNTIFS('紐付け'!$A$4:$A$200,$A138,'紐付け'!$C$4:$C$200,'業務'!$C$4:$C$200)&gt;0)*('業務'!$A$4:$A$200&lt;&gt;"")))</f>
        <v/>
      </c>
      <c r="AP138" s="22">
        <f>IF($A138="","",SUMPRODUCT((COUNTIFS('紐付け'!$A$4:$A$200,$A138,'紐付け'!$C$4:$C$200,'業務'!$C$4:$C$200)&gt;0)*('業務'!$A$4:$A$200&lt;&gt;"")*('業務'!$P$4:$P$200="移管")))</f>
        <v/>
      </c>
      <c r="AQ138" s="22">
        <f>IF($A138="","",SUMPRODUCT((COUNTIFS('紐付け'!$A$4:$A$200,$A138,'紐付け'!$C$4:$C$200,'業務'!$C$4:$C$200)&gt;0)*('業務'!$A$4:$A$200&lt;&gt;"")*('業務'!$P$4:$P$200="留保")))</f>
        <v/>
      </c>
      <c r="AR138" s="22">
        <f>IF($A138="","",AO138-AP138-AQ138)</f>
        <v/>
      </c>
      <c r="AS138" s="22">
        <f>IF($A138="","",SUMPRODUCT(('紐付け'!$A$4:$A$200=$A138)*('紐付け'!$C$4:$C$200&lt;&gt;"")*(COUNTIF('業務'!$C$4:$C$200,'紐付け'!$C$4:$C$200)=0)*(COUNTIFS('システム'!$A$4:$A$200,'紐付け'!$C$4:$C$200,'システム'!$N$4:$N$200,"留保")&gt;0)))</f>
        <v/>
      </c>
      <c r="AT138" s="22">
        <f>IF($A138="","",SUMPRODUCT(('紐付け'!$A$4:$A$200=$A138)*('紐付け'!$C$4:$C$200&lt;&gt;"")*(COUNTIF('業務'!$C$4:$C$200,'紐付け'!$C$4:$C$200)=0))-AS138)</f>
        <v/>
      </c>
      <c r="AU138" s="22">
        <f>IF($A138="","",COUNTIF('契約'!$C$4:$C$200,$A138))</f>
        <v/>
      </c>
      <c r="AV138" s="22">
        <f>IF($A138="","",COUNTIFS('契約'!$C$4:$C$200,$A138,'契約'!$O$4:$O$200,"移管"))</f>
        <v/>
      </c>
      <c r="AW138" s="22">
        <f>IF($A138="","",COUNTIFS('契約'!$C$4:$C$200,$A138,'契約'!$O$4:$O$200,"一部"))</f>
        <v/>
      </c>
      <c r="AX138" s="22">
        <f>IF($A138="","",COUNTIFS('契約'!$C$4:$C$200,$A138,'契約'!$O$4:$O$200,"判定保留"))</f>
        <v/>
      </c>
      <c r="AY138" s="22">
        <f>IF($A138="","",COUNTIFS('契約'!$C$4:$C$200,$A138,'契約'!$O$4:$O$200,"留保"))</f>
        <v/>
      </c>
    </row>
    <row r="139">
      <c r="A139" s="17" t="n"/>
      <c r="B139" s="17" t="n"/>
      <c r="C139" s="17" t="n"/>
      <c r="D139" s="17" t="n"/>
      <c r="E139" s="17" t="n"/>
      <c r="F139" s="17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9">
        <f>IF(COUNT(G139:R139)=0,"",SUM(G139:R139))</f>
        <v/>
      </c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9">
        <f>IF(COUNT(T139:AE139)=0,"",SUM(T139:AE139))</f>
        <v/>
      </c>
      <c r="AG139" s="17" t="n"/>
      <c r="AH139" s="17" t="n"/>
      <c r="AI139" s="17" t="n"/>
      <c r="AJ139" s="17" t="n"/>
      <c r="AK139" s="17" t="n"/>
      <c r="AL139" s="22">
        <f>IF($A139="","",IF(OR(AM139="移管",AN139="移管"),"移管",IF(OR(AM139="一部",AN139="一部"),"一部",IF(OR(AM139="判定保留",AN139="判定保留"),"判定保留",IF(OR(AM139="留保",AN139="留保"),"留保","対象外")))))</f>
        <v/>
      </c>
      <c r="AM139" s="22">
        <f>IF($A139="","",IF(AU139=0,"対象外",IF(AV139=AU139,"移管",IF(AV139+AW139&gt;0,"一部",IF(AX139&gt;0,"判定保留",IF(AY139&gt;0,"留保","対象外"))))))</f>
        <v/>
      </c>
      <c r="AN139" s="22">
        <f>IF($A139="","",IF((AO139+AS139+AT139)=0,"対象外",IF(AP139=(AO139+AS139+AT139),"移管",IF(AP139&gt;0,"一部",IF(AR139+AT139&gt;0,"判定保留",IF(AQ139+AS139&gt;0,"留保","対象外"))))))</f>
        <v/>
      </c>
      <c r="AO139" s="22">
        <f>IF($A139="","",SUMPRODUCT((COUNTIFS('紐付け'!$A$4:$A$200,$A139,'紐付け'!$C$4:$C$200,'業務'!$C$4:$C$200)&gt;0)*('業務'!$A$4:$A$200&lt;&gt;"")))</f>
        <v/>
      </c>
      <c r="AP139" s="22">
        <f>IF($A139="","",SUMPRODUCT((COUNTIFS('紐付け'!$A$4:$A$200,$A139,'紐付け'!$C$4:$C$200,'業務'!$C$4:$C$200)&gt;0)*('業務'!$A$4:$A$200&lt;&gt;"")*('業務'!$P$4:$P$200="移管")))</f>
        <v/>
      </c>
      <c r="AQ139" s="22">
        <f>IF($A139="","",SUMPRODUCT((COUNTIFS('紐付け'!$A$4:$A$200,$A139,'紐付け'!$C$4:$C$200,'業務'!$C$4:$C$200)&gt;0)*('業務'!$A$4:$A$200&lt;&gt;"")*('業務'!$P$4:$P$200="留保")))</f>
        <v/>
      </c>
      <c r="AR139" s="22">
        <f>IF($A139="","",AO139-AP139-AQ139)</f>
        <v/>
      </c>
      <c r="AS139" s="22">
        <f>IF($A139="","",SUMPRODUCT(('紐付け'!$A$4:$A$200=$A139)*('紐付け'!$C$4:$C$200&lt;&gt;"")*(COUNTIF('業務'!$C$4:$C$200,'紐付け'!$C$4:$C$200)=0)*(COUNTIFS('システム'!$A$4:$A$200,'紐付け'!$C$4:$C$200,'システム'!$N$4:$N$200,"留保")&gt;0)))</f>
        <v/>
      </c>
      <c r="AT139" s="22">
        <f>IF($A139="","",SUMPRODUCT(('紐付け'!$A$4:$A$200=$A139)*('紐付け'!$C$4:$C$200&lt;&gt;"")*(COUNTIF('業務'!$C$4:$C$200,'紐付け'!$C$4:$C$200)=0))-AS139)</f>
        <v/>
      </c>
      <c r="AU139" s="22">
        <f>IF($A139="","",COUNTIF('契約'!$C$4:$C$200,$A139))</f>
        <v/>
      </c>
      <c r="AV139" s="22">
        <f>IF($A139="","",COUNTIFS('契約'!$C$4:$C$200,$A139,'契約'!$O$4:$O$200,"移管"))</f>
        <v/>
      </c>
      <c r="AW139" s="22">
        <f>IF($A139="","",COUNTIFS('契約'!$C$4:$C$200,$A139,'契約'!$O$4:$O$200,"一部"))</f>
        <v/>
      </c>
      <c r="AX139" s="22">
        <f>IF($A139="","",COUNTIFS('契約'!$C$4:$C$200,$A139,'契約'!$O$4:$O$200,"判定保留"))</f>
        <v/>
      </c>
      <c r="AY139" s="22">
        <f>IF($A139="","",COUNTIFS('契約'!$C$4:$C$200,$A139,'契約'!$O$4:$O$200,"留保"))</f>
        <v/>
      </c>
    </row>
    <row r="140">
      <c r="A140" s="17" t="n"/>
      <c r="B140" s="17" t="n"/>
      <c r="C140" s="17" t="n"/>
      <c r="D140" s="17" t="n"/>
      <c r="E140" s="17" t="n"/>
      <c r="F140" s="17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9">
        <f>IF(COUNT(G140:R140)=0,"",SUM(G140:R140))</f>
        <v/>
      </c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9">
        <f>IF(COUNT(T140:AE140)=0,"",SUM(T140:AE140))</f>
        <v/>
      </c>
      <c r="AG140" s="17" t="n"/>
      <c r="AH140" s="17" t="n"/>
      <c r="AI140" s="17" t="n"/>
      <c r="AJ140" s="17" t="n"/>
      <c r="AK140" s="17" t="n"/>
      <c r="AL140" s="22">
        <f>IF($A140="","",IF(OR(AM140="移管",AN140="移管"),"移管",IF(OR(AM140="一部",AN140="一部"),"一部",IF(OR(AM140="判定保留",AN140="判定保留"),"判定保留",IF(OR(AM140="留保",AN140="留保"),"留保","対象外")))))</f>
        <v/>
      </c>
      <c r="AM140" s="22">
        <f>IF($A140="","",IF(AU140=0,"対象外",IF(AV140=AU140,"移管",IF(AV140+AW140&gt;0,"一部",IF(AX140&gt;0,"判定保留",IF(AY140&gt;0,"留保","対象外"))))))</f>
        <v/>
      </c>
      <c r="AN140" s="22">
        <f>IF($A140="","",IF((AO140+AS140+AT140)=0,"対象外",IF(AP140=(AO140+AS140+AT140),"移管",IF(AP140&gt;0,"一部",IF(AR140+AT140&gt;0,"判定保留",IF(AQ140+AS140&gt;0,"留保","対象外"))))))</f>
        <v/>
      </c>
      <c r="AO140" s="22">
        <f>IF($A140="","",SUMPRODUCT((COUNTIFS('紐付け'!$A$4:$A$200,$A140,'紐付け'!$C$4:$C$200,'業務'!$C$4:$C$200)&gt;0)*('業務'!$A$4:$A$200&lt;&gt;"")))</f>
        <v/>
      </c>
      <c r="AP140" s="22">
        <f>IF($A140="","",SUMPRODUCT((COUNTIFS('紐付け'!$A$4:$A$200,$A140,'紐付け'!$C$4:$C$200,'業務'!$C$4:$C$200)&gt;0)*('業務'!$A$4:$A$200&lt;&gt;"")*('業務'!$P$4:$P$200="移管")))</f>
        <v/>
      </c>
      <c r="AQ140" s="22">
        <f>IF($A140="","",SUMPRODUCT((COUNTIFS('紐付け'!$A$4:$A$200,$A140,'紐付け'!$C$4:$C$200,'業務'!$C$4:$C$200)&gt;0)*('業務'!$A$4:$A$200&lt;&gt;"")*('業務'!$P$4:$P$200="留保")))</f>
        <v/>
      </c>
      <c r="AR140" s="22">
        <f>IF($A140="","",AO140-AP140-AQ140)</f>
        <v/>
      </c>
      <c r="AS140" s="22">
        <f>IF($A140="","",SUMPRODUCT(('紐付け'!$A$4:$A$200=$A140)*('紐付け'!$C$4:$C$200&lt;&gt;"")*(COUNTIF('業務'!$C$4:$C$200,'紐付け'!$C$4:$C$200)=0)*(COUNTIFS('システム'!$A$4:$A$200,'紐付け'!$C$4:$C$200,'システム'!$N$4:$N$200,"留保")&gt;0)))</f>
        <v/>
      </c>
      <c r="AT140" s="22">
        <f>IF($A140="","",SUMPRODUCT(('紐付け'!$A$4:$A$200=$A140)*('紐付け'!$C$4:$C$200&lt;&gt;"")*(COUNTIF('業務'!$C$4:$C$200,'紐付け'!$C$4:$C$200)=0))-AS140)</f>
        <v/>
      </c>
      <c r="AU140" s="22">
        <f>IF($A140="","",COUNTIF('契約'!$C$4:$C$200,$A140))</f>
        <v/>
      </c>
      <c r="AV140" s="22">
        <f>IF($A140="","",COUNTIFS('契約'!$C$4:$C$200,$A140,'契約'!$O$4:$O$200,"移管"))</f>
        <v/>
      </c>
      <c r="AW140" s="22">
        <f>IF($A140="","",COUNTIFS('契約'!$C$4:$C$200,$A140,'契約'!$O$4:$O$200,"一部"))</f>
        <v/>
      </c>
      <c r="AX140" s="22">
        <f>IF($A140="","",COUNTIFS('契約'!$C$4:$C$200,$A140,'契約'!$O$4:$O$200,"判定保留"))</f>
        <v/>
      </c>
      <c r="AY140" s="22">
        <f>IF($A140="","",COUNTIFS('契約'!$C$4:$C$200,$A140,'契約'!$O$4:$O$200,"留保"))</f>
        <v/>
      </c>
    </row>
    <row r="141">
      <c r="A141" s="17" t="n"/>
      <c r="B141" s="17" t="n"/>
      <c r="C141" s="17" t="n"/>
      <c r="D141" s="17" t="n"/>
      <c r="E141" s="17" t="n"/>
      <c r="F141" s="17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9">
        <f>IF(COUNT(G141:R141)=0,"",SUM(G141:R141))</f>
        <v/>
      </c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9">
        <f>IF(COUNT(T141:AE141)=0,"",SUM(T141:AE141))</f>
        <v/>
      </c>
      <c r="AG141" s="17" t="n"/>
      <c r="AH141" s="17" t="n"/>
      <c r="AI141" s="17" t="n"/>
      <c r="AJ141" s="17" t="n"/>
      <c r="AK141" s="17" t="n"/>
      <c r="AL141" s="22">
        <f>IF($A141="","",IF(OR(AM141="移管",AN141="移管"),"移管",IF(OR(AM141="一部",AN141="一部"),"一部",IF(OR(AM141="判定保留",AN141="判定保留"),"判定保留",IF(OR(AM141="留保",AN141="留保"),"留保","対象外")))))</f>
        <v/>
      </c>
      <c r="AM141" s="22">
        <f>IF($A141="","",IF(AU141=0,"対象外",IF(AV141=AU141,"移管",IF(AV141+AW141&gt;0,"一部",IF(AX141&gt;0,"判定保留",IF(AY141&gt;0,"留保","対象外"))))))</f>
        <v/>
      </c>
      <c r="AN141" s="22">
        <f>IF($A141="","",IF((AO141+AS141+AT141)=0,"対象外",IF(AP141=(AO141+AS141+AT141),"移管",IF(AP141&gt;0,"一部",IF(AR141+AT141&gt;0,"判定保留",IF(AQ141+AS141&gt;0,"留保","対象外"))))))</f>
        <v/>
      </c>
      <c r="AO141" s="22">
        <f>IF($A141="","",SUMPRODUCT((COUNTIFS('紐付け'!$A$4:$A$200,$A141,'紐付け'!$C$4:$C$200,'業務'!$C$4:$C$200)&gt;0)*('業務'!$A$4:$A$200&lt;&gt;"")))</f>
        <v/>
      </c>
      <c r="AP141" s="22">
        <f>IF($A141="","",SUMPRODUCT((COUNTIFS('紐付け'!$A$4:$A$200,$A141,'紐付け'!$C$4:$C$200,'業務'!$C$4:$C$200)&gt;0)*('業務'!$A$4:$A$200&lt;&gt;"")*('業務'!$P$4:$P$200="移管")))</f>
        <v/>
      </c>
      <c r="AQ141" s="22">
        <f>IF($A141="","",SUMPRODUCT((COUNTIFS('紐付け'!$A$4:$A$200,$A141,'紐付け'!$C$4:$C$200,'業務'!$C$4:$C$200)&gt;0)*('業務'!$A$4:$A$200&lt;&gt;"")*('業務'!$P$4:$P$200="留保")))</f>
        <v/>
      </c>
      <c r="AR141" s="22">
        <f>IF($A141="","",AO141-AP141-AQ141)</f>
        <v/>
      </c>
      <c r="AS141" s="22">
        <f>IF($A141="","",SUMPRODUCT(('紐付け'!$A$4:$A$200=$A141)*('紐付け'!$C$4:$C$200&lt;&gt;"")*(COUNTIF('業務'!$C$4:$C$200,'紐付け'!$C$4:$C$200)=0)*(COUNTIFS('システム'!$A$4:$A$200,'紐付け'!$C$4:$C$200,'システム'!$N$4:$N$200,"留保")&gt;0)))</f>
        <v/>
      </c>
      <c r="AT141" s="22">
        <f>IF($A141="","",SUMPRODUCT(('紐付け'!$A$4:$A$200=$A141)*('紐付け'!$C$4:$C$200&lt;&gt;"")*(COUNTIF('業務'!$C$4:$C$200,'紐付け'!$C$4:$C$200)=0))-AS141)</f>
        <v/>
      </c>
      <c r="AU141" s="22">
        <f>IF($A141="","",COUNTIF('契約'!$C$4:$C$200,$A141))</f>
        <v/>
      </c>
      <c r="AV141" s="22">
        <f>IF($A141="","",COUNTIFS('契約'!$C$4:$C$200,$A141,'契約'!$O$4:$O$200,"移管"))</f>
        <v/>
      </c>
      <c r="AW141" s="22">
        <f>IF($A141="","",COUNTIFS('契約'!$C$4:$C$200,$A141,'契約'!$O$4:$O$200,"一部"))</f>
        <v/>
      </c>
      <c r="AX141" s="22">
        <f>IF($A141="","",COUNTIFS('契約'!$C$4:$C$200,$A141,'契約'!$O$4:$O$200,"判定保留"))</f>
        <v/>
      </c>
      <c r="AY141" s="22">
        <f>IF($A141="","",COUNTIFS('契約'!$C$4:$C$200,$A141,'契約'!$O$4:$O$200,"留保"))</f>
        <v/>
      </c>
    </row>
    <row r="142">
      <c r="A142" s="17" t="n"/>
      <c r="B142" s="17" t="n"/>
      <c r="C142" s="17" t="n"/>
      <c r="D142" s="17" t="n"/>
      <c r="E142" s="17" t="n"/>
      <c r="F142" s="17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9">
        <f>IF(COUNT(G142:R142)=0,"",SUM(G142:R142))</f>
        <v/>
      </c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9">
        <f>IF(COUNT(T142:AE142)=0,"",SUM(T142:AE142))</f>
        <v/>
      </c>
      <c r="AG142" s="17" t="n"/>
      <c r="AH142" s="17" t="n"/>
      <c r="AI142" s="17" t="n"/>
      <c r="AJ142" s="17" t="n"/>
      <c r="AK142" s="17" t="n"/>
      <c r="AL142" s="22">
        <f>IF($A142="","",IF(OR(AM142="移管",AN142="移管"),"移管",IF(OR(AM142="一部",AN142="一部"),"一部",IF(OR(AM142="判定保留",AN142="判定保留"),"判定保留",IF(OR(AM142="留保",AN142="留保"),"留保","対象外")))))</f>
        <v/>
      </c>
      <c r="AM142" s="22">
        <f>IF($A142="","",IF(AU142=0,"対象外",IF(AV142=AU142,"移管",IF(AV142+AW142&gt;0,"一部",IF(AX142&gt;0,"判定保留",IF(AY142&gt;0,"留保","対象外"))))))</f>
        <v/>
      </c>
      <c r="AN142" s="22">
        <f>IF($A142="","",IF((AO142+AS142+AT142)=0,"対象外",IF(AP142=(AO142+AS142+AT142),"移管",IF(AP142&gt;0,"一部",IF(AR142+AT142&gt;0,"判定保留",IF(AQ142+AS142&gt;0,"留保","対象外"))))))</f>
        <v/>
      </c>
      <c r="AO142" s="22">
        <f>IF($A142="","",SUMPRODUCT((COUNTIFS('紐付け'!$A$4:$A$200,$A142,'紐付け'!$C$4:$C$200,'業務'!$C$4:$C$200)&gt;0)*('業務'!$A$4:$A$200&lt;&gt;"")))</f>
        <v/>
      </c>
      <c r="AP142" s="22">
        <f>IF($A142="","",SUMPRODUCT((COUNTIFS('紐付け'!$A$4:$A$200,$A142,'紐付け'!$C$4:$C$200,'業務'!$C$4:$C$200)&gt;0)*('業務'!$A$4:$A$200&lt;&gt;"")*('業務'!$P$4:$P$200="移管")))</f>
        <v/>
      </c>
      <c r="AQ142" s="22">
        <f>IF($A142="","",SUMPRODUCT((COUNTIFS('紐付け'!$A$4:$A$200,$A142,'紐付け'!$C$4:$C$200,'業務'!$C$4:$C$200)&gt;0)*('業務'!$A$4:$A$200&lt;&gt;"")*('業務'!$P$4:$P$200="留保")))</f>
        <v/>
      </c>
      <c r="AR142" s="22">
        <f>IF($A142="","",AO142-AP142-AQ142)</f>
        <v/>
      </c>
      <c r="AS142" s="22">
        <f>IF($A142="","",SUMPRODUCT(('紐付け'!$A$4:$A$200=$A142)*('紐付け'!$C$4:$C$200&lt;&gt;"")*(COUNTIF('業務'!$C$4:$C$200,'紐付け'!$C$4:$C$200)=0)*(COUNTIFS('システム'!$A$4:$A$200,'紐付け'!$C$4:$C$200,'システム'!$N$4:$N$200,"留保")&gt;0)))</f>
        <v/>
      </c>
      <c r="AT142" s="22">
        <f>IF($A142="","",SUMPRODUCT(('紐付け'!$A$4:$A$200=$A142)*('紐付け'!$C$4:$C$200&lt;&gt;"")*(COUNTIF('業務'!$C$4:$C$200,'紐付け'!$C$4:$C$200)=0))-AS142)</f>
        <v/>
      </c>
      <c r="AU142" s="22">
        <f>IF($A142="","",COUNTIF('契約'!$C$4:$C$200,$A142))</f>
        <v/>
      </c>
      <c r="AV142" s="22">
        <f>IF($A142="","",COUNTIFS('契約'!$C$4:$C$200,$A142,'契約'!$O$4:$O$200,"移管"))</f>
        <v/>
      </c>
      <c r="AW142" s="22">
        <f>IF($A142="","",COUNTIFS('契約'!$C$4:$C$200,$A142,'契約'!$O$4:$O$200,"一部"))</f>
        <v/>
      </c>
      <c r="AX142" s="22">
        <f>IF($A142="","",COUNTIFS('契約'!$C$4:$C$200,$A142,'契約'!$O$4:$O$200,"判定保留"))</f>
        <v/>
      </c>
      <c r="AY142" s="22">
        <f>IF($A142="","",COUNTIFS('契約'!$C$4:$C$200,$A142,'契約'!$O$4:$O$200,"留保"))</f>
        <v/>
      </c>
    </row>
    <row r="143">
      <c r="A143" s="17" t="n"/>
      <c r="B143" s="17" t="n"/>
      <c r="C143" s="17" t="n"/>
      <c r="D143" s="17" t="n"/>
      <c r="E143" s="17" t="n"/>
      <c r="F143" s="17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9">
        <f>IF(COUNT(G143:R143)=0,"",SUM(G143:R143))</f>
        <v/>
      </c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9">
        <f>IF(COUNT(T143:AE143)=0,"",SUM(T143:AE143))</f>
        <v/>
      </c>
      <c r="AG143" s="17" t="n"/>
      <c r="AH143" s="17" t="n"/>
      <c r="AI143" s="17" t="n"/>
      <c r="AJ143" s="17" t="n"/>
      <c r="AK143" s="17" t="n"/>
      <c r="AL143" s="22">
        <f>IF($A143="","",IF(OR(AM143="移管",AN143="移管"),"移管",IF(OR(AM143="一部",AN143="一部"),"一部",IF(OR(AM143="判定保留",AN143="判定保留"),"判定保留",IF(OR(AM143="留保",AN143="留保"),"留保","対象外")))))</f>
        <v/>
      </c>
      <c r="AM143" s="22">
        <f>IF($A143="","",IF(AU143=0,"対象外",IF(AV143=AU143,"移管",IF(AV143+AW143&gt;0,"一部",IF(AX143&gt;0,"判定保留",IF(AY143&gt;0,"留保","対象外"))))))</f>
        <v/>
      </c>
      <c r="AN143" s="22">
        <f>IF($A143="","",IF((AO143+AS143+AT143)=0,"対象外",IF(AP143=(AO143+AS143+AT143),"移管",IF(AP143&gt;0,"一部",IF(AR143+AT143&gt;0,"判定保留",IF(AQ143+AS143&gt;0,"留保","対象外"))))))</f>
        <v/>
      </c>
      <c r="AO143" s="22">
        <f>IF($A143="","",SUMPRODUCT((COUNTIFS('紐付け'!$A$4:$A$200,$A143,'紐付け'!$C$4:$C$200,'業務'!$C$4:$C$200)&gt;0)*('業務'!$A$4:$A$200&lt;&gt;"")))</f>
        <v/>
      </c>
      <c r="AP143" s="22">
        <f>IF($A143="","",SUMPRODUCT((COUNTIFS('紐付け'!$A$4:$A$200,$A143,'紐付け'!$C$4:$C$200,'業務'!$C$4:$C$200)&gt;0)*('業務'!$A$4:$A$200&lt;&gt;"")*('業務'!$P$4:$P$200="移管")))</f>
        <v/>
      </c>
      <c r="AQ143" s="22">
        <f>IF($A143="","",SUMPRODUCT((COUNTIFS('紐付け'!$A$4:$A$200,$A143,'紐付け'!$C$4:$C$200,'業務'!$C$4:$C$200)&gt;0)*('業務'!$A$4:$A$200&lt;&gt;"")*('業務'!$P$4:$P$200="留保")))</f>
        <v/>
      </c>
      <c r="AR143" s="22">
        <f>IF($A143="","",AO143-AP143-AQ143)</f>
        <v/>
      </c>
      <c r="AS143" s="22">
        <f>IF($A143="","",SUMPRODUCT(('紐付け'!$A$4:$A$200=$A143)*('紐付け'!$C$4:$C$200&lt;&gt;"")*(COUNTIF('業務'!$C$4:$C$200,'紐付け'!$C$4:$C$200)=0)*(COUNTIFS('システム'!$A$4:$A$200,'紐付け'!$C$4:$C$200,'システム'!$N$4:$N$200,"留保")&gt;0)))</f>
        <v/>
      </c>
      <c r="AT143" s="22">
        <f>IF($A143="","",SUMPRODUCT(('紐付け'!$A$4:$A$200=$A143)*('紐付け'!$C$4:$C$200&lt;&gt;"")*(COUNTIF('業務'!$C$4:$C$200,'紐付け'!$C$4:$C$200)=0))-AS143)</f>
        <v/>
      </c>
      <c r="AU143" s="22">
        <f>IF($A143="","",COUNTIF('契約'!$C$4:$C$200,$A143))</f>
        <v/>
      </c>
      <c r="AV143" s="22">
        <f>IF($A143="","",COUNTIFS('契約'!$C$4:$C$200,$A143,'契約'!$O$4:$O$200,"移管"))</f>
        <v/>
      </c>
      <c r="AW143" s="22">
        <f>IF($A143="","",COUNTIFS('契約'!$C$4:$C$200,$A143,'契約'!$O$4:$O$200,"一部"))</f>
        <v/>
      </c>
      <c r="AX143" s="22">
        <f>IF($A143="","",COUNTIFS('契約'!$C$4:$C$200,$A143,'契約'!$O$4:$O$200,"判定保留"))</f>
        <v/>
      </c>
      <c r="AY143" s="22">
        <f>IF($A143="","",COUNTIFS('契約'!$C$4:$C$200,$A143,'契約'!$O$4:$O$200,"留保"))</f>
        <v/>
      </c>
    </row>
    <row r="144">
      <c r="A144" s="17" t="n"/>
      <c r="B144" s="17" t="n"/>
      <c r="C144" s="17" t="n"/>
      <c r="D144" s="17" t="n"/>
      <c r="E144" s="17" t="n"/>
      <c r="F144" s="17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9">
        <f>IF(COUNT(G144:R144)=0,"",SUM(G144:R144))</f>
        <v/>
      </c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9">
        <f>IF(COUNT(T144:AE144)=0,"",SUM(T144:AE144))</f>
        <v/>
      </c>
      <c r="AG144" s="17" t="n"/>
      <c r="AH144" s="17" t="n"/>
      <c r="AI144" s="17" t="n"/>
      <c r="AJ144" s="17" t="n"/>
      <c r="AK144" s="17" t="n"/>
      <c r="AL144" s="22">
        <f>IF($A144="","",IF(OR(AM144="移管",AN144="移管"),"移管",IF(OR(AM144="一部",AN144="一部"),"一部",IF(OR(AM144="判定保留",AN144="判定保留"),"判定保留",IF(OR(AM144="留保",AN144="留保"),"留保","対象外")))))</f>
        <v/>
      </c>
      <c r="AM144" s="22">
        <f>IF($A144="","",IF(AU144=0,"対象外",IF(AV144=AU144,"移管",IF(AV144+AW144&gt;0,"一部",IF(AX144&gt;0,"判定保留",IF(AY144&gt;0,"留保","対象外"))))))</f>
        <v/>
      </c>
      <c r="AN144" s="22">
        <f>IF($A144="","",IF((AO144+AS144+AT144)=0,"対象外",IF(AP144=(AO144+AS144+AT144),"移管",IF(AP144&gt;0,"一部",IF(AR144+AT144&gt;0,"判定保留",IF(AQ144+AS144&gt;0,"留保","対象外"))))))</f>
        <v/>
      </c>
      <c r="AO144" s="22">
        <f>IF($A144="","",SUMPRODUCT((COUNTIFS('紐付け'!$A$4:$A$200,$A144,'紐付け'!$C$4:$C$200,'業務'!$C$4:$C$200)&gt;0)*('業務'!$A$4:$A$200&lt;&gt;"")))</f>
        <v/>
      </c>
      <c r="AP144" s="22">
        <f>IF($A144="","",SUMPRODUCT((COUNTIFS('紐付け'!$A$4:$A$200,$A144,'紐付け'!$C$4:$C$200,'業務'!$C$4:$C$200)&gt;0)*('業務'!$A$4:$A$200&lt;&gt;"")*('業務'!$P$4:$P$200="移管")))</f>
        <v/>
      </c>
      <c r="AQ144" s="22">
        <f>IF($A144="","",SUMPRODUCT((COUNTIFS('紐付け'!$A$4:$A$200,$A144,'紐付け'!$C$4:$C$200,'業務'!$C$4:$C$200)&gt;0)*('業務'!$A$4:$A$200&lt;&gt;"")*('業務'!$P$4:$P$200="留保")))</f>
        <v/>
      </c>
      <c r="AR144" s="22">
        <f>IF($A144="","",AO144-AP144-AQ144)</f>
        <v/>
      </c>
      <c r="AS144" s="22">
        <f>IF($A144="","",SUMPRODUCT(('紐付け'!$A$4:$A$200=$A144)*('紐付け'!$C$4:$C$200&lt;&gt;"")*(COUNTIF('業務'!$C$4:$C$200,'紐付け'!$C$4:$C$200)=0)*(COUNTIFS('システム'!$A$4:$A$200,'紐付け'!$C$4:$C$200,'システム'!$N$4:$N$200,"留保")&gt;0)))</f>
        <v/>
      </c>
      <c r="AT144" s="22">
        <f>IF($A144="","",SUMPRODUCT(('紐付け'!$A$4:$A$200=$A144)*('紐付け'!$C$4:$C$200&lt;&gt;"")*(COUNTIF('業務'!$C$4:$C$200,'紐付け'!$C$4:$C$200)=0))-AS144)</f>
        <v/>
      </c>
      <c r="AU144" s="22">
        <f>IF($A144="","",COUNTIF('契約'!$C$4:$C$200,$A144))</f>
        <v/>
      </c>
      <c r="AV144" s="22">
        <f>IF($A144="","",COUNTIFS('契約'!$C$4:$C$200,$A144,'契約'!$O$4:$O$200,"移管"))</f>
        <v/>
      </c>
      <c r="AW144" s="22">
        <f>IF($A144="","",COUNTIFS('契約'!$C$4:$C$200,$A144,'契約'!$O$4:$O$200,"一部"))</f>
        <v/>
      </c>
      <c r="AX144" s="22">
        <f>IF($A144="","",COUNTIFS('契約'!$C$4:$C$200,$A144,'契約'!$O$4:$O$200,"判定保留"))</f>
        <v/>
      </c>
      <c r="AY144" s="22">
        <f>IF($A144="","",COUNTIFS('契約'!$C$4:$C$200,$A144,'契約'!$O$4:$O$200,"留保"))</f>
        <v/>
      </c>
    </row>
    <row r="145">
      <c r="A145" s="17" t="n"/>
      <c r="B145" s="17" t="n"/>
      <c r="C145" s="17" t="n"/>
      <c r="D145" s="17" t="n"/>
      <c r="E145" s="17" t="n"/>
      <c r="F145" s="17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9">
        <f>IF(COUNT(G145:R145)=0,"",SUM(G145:R145))</f>
        <v/>
      </c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9">
        <f>IF(COUNT(T145:AE145)=0,"",SUM(T145:AE145))</f>
        <v/>
      </c>
      <c r="AG145" s="17" t="n"/>
      <c r="AH145" s="17" t="n"/>
      <c r="AI145" s="17" t="n"/>
      <c r="AJ145" s="17" t="n"/>
      <c r="AK145" s="17" t="n"/>
      <c r="AL145" s="22">
        <f>IF($A145="","",IF(OR(AM145="移管",AN145="移管"),"移管",IF(OR(AM145="一部",AN145="一部"),"一部",IF(OR(AM145="判定保留",AN145="判定保留"),"判定保留",IF(OR(AM145="留保",AN145="留保"),"留保","対象外")))))</f>
        <v/>
      </c>
      <c r="AM145" s="22">
        <f>IF($A145="","",IF(AU145=0,"対象外",IF(AV145=AU145,"移管",IF(AV145+AW145&gt;0,"一部",IF(AX145&gt;0,"判定保留",IF(AY145&gt;0,"留保","対象外"))))))</f>
        <v/>
      </c>
      <c r="AN145" s="22">
        <f>IF($A145="","",IF((AO145+AS145+AT145)=0,"対象外",IF(AP145=(AO145+AS145+AT145),"移管",IF(AP145&gt;0,"一部",IF(AR145+AT145&gt;0,"判定保留",IF(AQ145+AS145&gt;0,"留保","対象外"))))))</f>
        <v/>
      </c>
      <c r="AO145" s="22">
        <f>IF($A145="","",SUMPRODUCT((COUNTIFS('紐付け'!$A$4:$A$200,$A145,'紐付け'!$C$4:$C$200,'業務'!$C$4:$C$200)&gt;0)*('業務'!$A$4:$A$200&lt;&gt;"")))</f>
        <v/>
      </c>
      <c r="AP145" s="22">
        <f>IF($A145="","",SUMPRODUCT((COUNTIFS('紐付け'!$A$4:$A$200,$A145,'紐付け'!$C$4:$C$200,'業務'!$C$4:$C$200)&gt;0)*('業務'!$A$4:$A$200&lt;&gt;"")*('業務'!$P$4:$P$200="移管")))</f>
        <v/>
      </c>
      <c r="AQ145" s="22">
        <f>IF($A145="","",SUMPRODUCT((COUNTIFS('紐付け'!$A$4:$A$200,$A145,'紐付け'!$C$4:$C$200,'業務'!$C$4:$C$200)&gt;0)*('業務'!$A$4:$A$200&lt;&gt;"")*('業務'!$P$4:$P$200="留保")))</f>
        <v/>
      </c>
      <c r="AR145" s="22">
        <f>IF($A145="","",AO145-AP145-AQ145)</f>
        <v/>
      </c>
      <c r="AS145" s="22">
        <f>IF($A145="","",SUMPRODUCT(('紐付け'!$A$4:$A$200=$A145)*('紐付け'!$C$4:$C$200&lt;&gt;"")*(COUNTIF('業務'!$C$4:$C$200,'紐付け'!$C$4:$C$200)=0)*(COUNTIFS('システム'!$A$4:$A$200,'紐付け'!$C$4:$C$200,'システム'!$N$4:$N$200,"留保")&gt;0)))</f>
        <v/>
      </c>
      <c r="AT145" s="22">
        <f>IF($A145="","",SUMPRODUCT(('紐付け'!$A$4:$A$200=$A145)*('紐付け'!$C$4:$C$200&lt;&gt;"")*(COUNTIF('業務'!$C$4:$C$200,'紐付け'!$C$4:$C$200)=0))-AS145)</f>
        <v/>
      </c>
      <c r="AU145" s="22">
        <f>IF($A145="","",COUNTIF('契約'!$C$4:$C$200,$A145))</f>
        <v/>
      </c>
      <c r="AV145" s="22">
        <f>IF($A145="","",COUNTIFS('契約'!$C$4:$C$200,$A145,'契約'!$O$4:$O$200,"移管"))</f>
        <v/>
      </c>
      <c r="AW145" s="22">
        <f>IF($A145="","",COUNTIFS('契約'!$C$4:$C$200,$A145,'契約'!$O$4:$O$200,"一部"))</f>
        <v/>
      </c>
      <c r="AX145" s="22">
        <f>IF($A145="","",COUNTIFS('契約'!$C$4:$C$200,$A145,'契約'!$O$4:$O$200,"判定保留"))</f>
        <v/>
      </c>
      <c r="AY145" s="22">
        <f>IF($A145="","",COUNTIFS('契約'!$C$4:$C$200,$A145,'契約'!$O$4:$O$200,"留保"))</f>
        <v/>
      </c>
    </row>
    <row r="146">
      <c r="A146" s="17" t="n"/>
      <c r="B146" s="17" t="n"/>
      <c r="C146" s="17" t="n"/>
      <c r="D146" s="17" t="n"/>
      <c r="E146" s="17" t="n"/>
      <c r="F146" s="17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9">
        <f>IF(COUNT(G146:R146)=0,"",SUM(G146:R146))</f>
        <v/>
      </c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9">
        <f>IF(COUNT(T146:AE146)=0,"",SUM(T146:AE146))</f>
        <v/>
      </c>
      <c r="AG146" s="17" t="n"/>
      <c r="AH146" s="17" t="n"/>
      <c r="AI146" s="17" t="n"/>
      <c r="AJ146" s="17" t="n"/>
      <c r="AK146" s="17" t="n"/>
      <c r="AL146" s="22">
        <f>IF($A146="","",IF(OR(AM146="移管",AN146="移管"),"移管",IF(OR(AM146="一部",AN146="一部"),"一部",IF(OR(AM146="判定保留",AN146="判定保留"),"判定保留",IF(OR(AM146="留保",AN146="留保"),"留保","対象外")))))</f>
        <v/>
      </c>
      <c r="AM146" s="22">
        <f>IF($A146="","",IF(AU146=0,"対象外",IF(AV146=AU146,"移管",IF(AV146+AW146&gt;0,"一部",IF(AX146&gt;0,"判定保留",IF(AY146&gt;0,"留保","対象外"))))))</f>
        <v/>
      </c>
      <c r="AN146" s="22">
        <f>IF($A146="","",IF((AO146+AS146+AT146)=0,"対象外",IF(AP146=(AO146+AS146+AT146),"移管",IF(AP146&gt;0,"一部",IF(AR146+AT146&gt;0,"判定保留",IF(AQ146+AS146&gt;0,"留保","対象外"))))))</f>
        <v/>
      </c>
      <c r="AO146" s="22">
        <f>IF($A146="","",SUMPRODUCT((COUNTIFS('紐付け'!$A$4:$A$200,$A146,'紐付け'!$C$4:$C$200,'業務'!$C$4:$C$200)&gt;0)*('業務'!$A$4:$A$200&lt;&gt;"")))</f>
        <v/>
      </c>
      <c r="AP146" s="22">
        <f>IF($A146="","",SUMPRODUCT((COUNTIFS('紐付け'!$A$4:$A$200,$A146,'紐付け'!$C$4:$C$200,'業務'!$C$4:$C$200)&gt;0)*('業務'!$A$4:$A$200&lt;&gt;"")*('業務'!$P$4:$P$200="移管")))</f>
        <v/>
      </c>
      <c r="AQ146" s="22">
        <f>IF($A146="","",SUMPRODUCT((COUNTIFS('紐付け'!$A$4:$A$200,$A146,'紐付け'!$C$4:$C$200,'業務'!$C$4:$C$200)&gt;0)*('業務'!$A$4:$A$200&lt;&gt;"")*('業務'!$P$4:$P$200="留保")))</f>
        <v/>
      </c>
      <c r="AR146" s="22">
        <f>IF($A146="","",AO146-AP146-AQ146)</f>
        <v/>
      </c>
      <c r="AS146" s="22">
        <f>IF($A146="","",SUMPRODUCT(('紐付け'!$A$4:$A$200=$A146)*('紐付け'!$C$4:$C$200&lt;&gt;"")*(COUNTIF('業務'!$C$4:$C$200,'紐付け'!$C$4:$C$200)=0)*(COUNTIFS('システム'!$A$4:$A$200,'紐付け'!$C$4:$C$200,'システム'!$N$4:$N$200,"留保")&gt;0)))</f>
        <v/>
      </c>
      <c r="AT146" s="22">
        <f>IF($A146="","",SUMPRODUCT(('紐付け'!$A$4:$A$200=$A146)*('紐付け'!$C$4:$C$200&lt;&gt;"")*(COUNTIF('業務'!$C$4:$C$200,'紐付け'!$C$4:$C$200)=0))-AS146)</f>
        <v/>
      </c>
      <c r="AU146" s="22">
        <f>IF($A146="","",COUNTIF('契約'!$C$4:$C$200,$A146))</f>
        <v/>
      </c>
      <c r="AV146" s="22">
        <f>IF($A146="","",COUNTIFS('契約'!$C$4:$C$200,$A146,'契約'!$O$4:$O$200,"移管"))</f>
        <v/>
      </c>
      <c r="AW146" s="22">
        <f>IF($A146="","",COUNTIFS('契約'!$C$4:$C$200,$A146,'契約'!$O$4:$O$200,"一部"))</f>
        <v/>
      </c>
      <c r="AX146" s="22">
        <f>IF($A146="","",COUNTIFS('契約'!$C$4:$C$200,$A146,'契約'!$O$4:$O$200,"判定保留"))</f>
        <v/>
      </c>
      <c r="AY146" s="22">
        <f>IF($A146="","",COUNTIFS('契約'!$C$4:$C$200,$A146,'契約'!$O$4:$O$200,"留保"))</f>
        <v/>
      </c>
    </row>
    <row r="147">
      <c r="A147" s="17" t="n"/>
      <c r="B147" s="17" t="n"/>
      <c r="C147" s="17" t="n"/>
      <c r="D147" s="17" t="n"/>
      <c r="E147" s="17" t="n"/>
      <c r="F147" s="17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9">
        <f>IF(COUNT(G147:R147)=0,"",SUM(G147:R147))</f>
        <v/>
      </c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9">
        <f>IF(COUNT(T147:AE147)=0,"",SUM(T147:AE147))</f>
        <v/>
      </c>
      <c r="AG147" s="17" t="n"/>
      <c r="AH147" s="17" t="n"/>
      <c r="AI147" s="17" t="n"/>
      <c r="AJ147" s="17" t="n"/>
      <c r="AK147" s="17" t="n"/>
      <c r="AL147" s="22">
        <f>IF($A147="","",IF(OR(AM147="移管",AN147="移管"),"移管",IF(OR(AM147="一部",AN147="一部"),"一部",IF(OR(AM147="判定保留",AN147="判定保留"),"判定保留",IF(OR(AM147="留保",AN147="留保"),"留保","対象外")))))</f>
        <v/>
      </c>
      <c r="AM147" s="22">
        <f>IF($A147="","",IF(AU147=0,"対象外",IF(AV147=AU147,"移管",IF(AV147+AW147&gt;0,"一部",IF(AX147&gt;0,"判定保留",IF(AY147&gt;0,"留保","対象外"))))))</f>
        <v/>
      </c>
      <c r="AN147" s="22">
        <f>IF($A147="","",IF((AO147+AS147+AT147)=0,"対象外",IF(AP147=(AO147+AS147+AT147),"移管",IF(AP147&gt;0,"一部",IF(AR147+AT147&gt;0,"判定保留",IF(AQ147+AS147&gt;0,"留保","対象外"))))))</f>
        <v/>
      </c>
      <c r="AO147" s="22">
        <f>IF($A147="","",SUMPRODUCT((COUNTIFS('紐付け'!$A$4:$A$200,$A147,'紐付け'!$C$4:$C$200,'業務'!$C$4:$C$200)&gt;0)*('業務'!$A$4:$A$200&lt;&gt;"")))</f>
        <v/>
      </c>
      <c r="AP147" s="22">
        <f>IF($A147="","",SUMPRODUCT((COUNTIFS('紐付け'!$A$4:$A$200,$A147,'紐付け'!$C$4:$C$200,'業務'!$C$4:$C$200)&gt;0)*('業務'!$A$4:$A$200&lt;&gt;"")*('業務'!$P$4:$P$200="移管")))</f>
        <v/>
      </c>
      <c r="AQ147" s="22">
        <f>IF($A147="","",SUMPRODUCT((COUNTIFS('紐付け'!$A$4:$A$200,$A147,'紐付け'!$C$4:$C$200,'業務'!$C$4:$C$200)&gt;0)*('業務'!$A$4:$A$200&lt;&gt;"")*('業務'!$P$4:$P$200="留保")))</f>
        <v/>
      </c>
      <c r="AR147" s="22">
        <f>IF($A147="","",AO147-AP147-AQ147)</f>
        <v/>
      </c>
      <c r="AS147" s="22">
        <f>IF($A147="","",SUMPRODUCT(('紐付け'!$A$4:$A$200=$A147)*('紐付け'!$C$4:$C$200&lt;&gt;"")*(COUNTIF('業務'!$C$4:$C$200,'紐付け'!$C$4:$C$200)=0)*(COUNTIFS('システム'!$A$4:$A$200,'紐付け'!$C$4:$C$200,'システム'!$N$4:$N$200,"留保")&gt;0)))</f>
        <v/>
      </c>
      <c r="AT147" s="22">
        <f>IF($A147="","",SUMPRODUCT(('紐付け'!$A$4:$A$200=$A147)*('紐付け'!$C$4:$C$200&lt;&gt;"")*(COUNTIF('業務'!$C$4:$C$200,'紐付け'!$C$4:$C$200)=0))-AS147)</f>
        <v/>
      </c>
      <c r="AU147" s="22">
        <f>IF($A147="","",COUNTIF('契約'!$C$4:$C$200,$A147))</f>
        <v/>
      </c>
      <c r="AV147" s="22">
        <f>IF($A147="","",COUNTIFS('契約'!$C$4:$C$200,$A147,'契約'!$O$4:$O$200,"移管"))</f>
        <v/>
      </c>
      <c r="AW147" s="22">
        <f>IF($A147="","",COUNTIFS('契約'!$C$4:$C$200,$A147,'契約'!$O$4:$O$200,"一部"))</f>
        <v/>
      </c>
      <c r="AX147" s="22">
        <f>IF($A147="","",COUNTIFS('契約'!$C$4:$C$200,$A147,'契約'!$O$4:$O$200,"判定保留"))</f>
        <v/>
      </c>
      <c r="AY147" s="22">
        <f>IF($A147="","",COUNTIFS('契約'!$C$4:$C$200,$A147,'契約'!$O$4:$O$200,"留保"))</f>
        <v/>
      </c>
    </row>
    <row r="148">
      <c r="A148" s="17" t="n"/>
      <c r="B148" s="17" t="n"/>
      <c r="C148" s="17" t="n"/>
      <c r="D148" s="17" t="n"/>
      <c r="E148" s="17" t="n"/>
      <c r="F148" s="17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9">
        <f>IF(COUNT(G148:R148)=0,"",SUM(G148:R148))</f>
        <v/>
      </c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9">
        <f>IF(COUNT(T148:AE148)=0,"",SUM(T148:AE148))</f>
        <v/>
      </c>
      <c r="AG148" s="17" t="n"/>
      <c r="AH148" s="17" t="n"/>
      <c r="AI148" s="17" t="n"/>
      <c r="AJ148" s="17" t="n"/>
      <c r="AK148" s="17" t="n"/>
      <c r="AL148" s="22">
        <f>IF($A148="","",IF(OR(AM148="移管",AN148="移管"),"移管",IF(OR(AM148="一部",AN148="一部"),"一部",IF(OR(AM148="判定保留",AN148="判定保留"),"判定保留",IF(OR(AM148="留保",AN148="留保"),"留保","対象外")))))</f>
        <v/>
      </c>
      <c r="AM148" s="22">
        <f>IF($A148="","",IF(AU148=0,"対象外",IF(AV148=AU148,"移管",IF(AV148+AW148&gt;0,"一部",IF(AX148&gt;0,"判定保留",IF(AY148&gt;0,"留保","対象外"))))))</f>
        <v/>
      </c>
      <c r="AN148" s="22">
        <f>IF($A148="","",IF((AO148+AS148+AT148)=0,"対象外",IF(AP148=(AO148+AS148+AT148),"移管",IF(AP148&gt;0,"一部",IF(AR148+AT148&gt;0,"判定保留",IF(AQ148+AS148&gt;0,"留保","対象外"))))))</f>
        <v/>
      </c>
      <c r="AO148" s="22">
        <f>IF($A148="","",SUMPRODUCT((COUNTIFS('紐付け'!$A$4:$A$200,$A148,'紐付け'!$C$4:$C$200,'業務'!$C$4:$C$200)&gt;0)*('業務'!$A$4:$A$200&lt;&gt;"")))</f>
        <v/>
      </c>
      <c r="AP148" s="22">
        <f>IF($A148="","",SUMPRODUCT((COUNTIFS('紐付け'!$A$4:$A$200,$A148,'紐付け'!$C$4:$C$200,'業務'!$C$4:$C$200)&gt;0)*('業務'!$A$4:$A$200&lt;&gt;"")*('業務'!$P$4:$P$200="移管")))</f>
        <v/>
      </c>
      <c r="AQ148" s="22">
        <f>IF($A148="","",SUMPRODUCT((COUNTIFS('紐付け'!$A$4:$A$200,$A148,'紐付け'!$C$4:$C$200,'業務'!$C$4:$C$200)&gt;0)*('業務'!$A$4:$A$200&lt;&gt;"")*('業務'!$P$4:$P$200="留保")))</f>
        <v/>
      </c>
      <c r="AR148" s="22">
        <f>IF($A148="","",AO148-AP148-AQ148)</f>
        <v/>
      </c>
      <c r="AS148" s="22">
        <f>IF($A148="","",SUMPRODUCT(('紐付け'!$A$4:$A$200=$A148)*('紐付け'!$C$4:$C$200&lt;&gt;"")*(COUNTIF('業務'!$C$4:$C$200,'紐付け'!$C$4:$C$200)=0)*(COUNTIFS('システム'!$A$4:$A$200,'紐付け'!$C$4:$C$200,'システム'!$N$4:$N$200,"留保")&gt;0)))</f>
        <v/>
      </c>
      <c r="AT148" s="22">
        <f>IF($A148="","",SUMPRODUCT(('紐付け'!$A$4:$A$200=$A148)*('紐付け'!$C$4:$C$200&lt;&gt;"")*(COUNTIF('業務'!$C$4:$C$200,'紐付け'!$C$4:$C$200)=0))-AS148)</f>
        <v/>
      </c>
      <c r="AU148" s="22">
        <f>IF($A148="","",COUNTIF('契約'!$C$4:$C$200,$A148))</f>
        <v/>
      </c>
      <c r="AV148" s="22">
        <f>IF($A148="","",COUNTIFS('契約'!$C$4:$C$200,$A148,'契約'!$O$4:$O$200,"移管"))</f>
        <v/>
      </c>
      <c r="AW148" s="22">
        <f>IF($A148="","",COUNTIFS('契約'!$C$4:$C$200,$A148,'契約'!$O$4:$O$200,"一部"))</f>
        <v/>
      </c>
      <c r="AX148" s="22">
        <f>IF($A148="","",COUNTIFS('契約'!$C$4:$C$200,$A148,'契約'!$O$4:$O$200,"判定保留"))</f>
        <v/>
      </c>
      <c r="AY148" s="22">
        <f>IF($A148="","",COUNTIFS('契約'!$C$4:$C$200,$A148,'契約'!$O$4:$O$200,"留保"))</f>
        <v/>
      </c>
    </row>
    <row r="149">
      <c r="A149" s="17" t="n"/>
      <c r="B149" s="17" t="n"/>
      <c r="C149" s="17" t="n"/>
      <c r="D149" s="17" t="n"/>
      <c r="E149" s="17" t="n"/>
      <c r="F149" s="17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9">
        <f>IF(COUNT(G149:R149)=0,"",SUM(G149:R149))</f>
        <v/>
      </c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9">
        <f>IF(COUNT(T149:AE149)=0,"",SUM(T149:AE149))</f>
        <v/>
      </c>
      <c r="AG149" s="17" t="n"/>
      <c r="AH149" s="17" t="n"/>
      <c r="AI149" s="17" t="n"/>
      <c r="AJ149" s="17" t="n"/>
      <c r="AK149" s="17" t="n"/>
      <c r="AL149" s="22">
        <f>IF($A149="","",IF(OR(AM149="移管",AN149="移管"),"移管",IF(OR(AM149="一部",AN149="一部"),"一部",IF(OR(AM149="判定保留",AN149="判定保留"),"判定保留",IF(OR(AM149="留保",AN149="留保"),"留保","対象外")))))</f>
        <v/>
      </c>
      <c r="AM149" s="22">
        <f>IF($A149="","",IF(AU149=0,"対象外",IF(AV149=AU149,"移管",IF(AV149+AW149&gt;0,"一部",IF(AX149&gt;0,"判定保留",IF(AY149&gt;0,"留保","対象外"))))))</f>
        <v/>
      </c>
      <c r="AN149" s="22">
        <f>IF($A149="","",IF((AO149+AS149+AT149)=0,"対象外",IF(AP149=(AO149+AS149+AT149),"移管",IF(AP149&gt;0,"一部",IF(AR149+AT149&gt;0,"判定保留",IF(AQ149+AS149&gt;0,"留保","対象外"))))))</f>
        <v/>
      </c>
      <c r="AO149" s="22">
        <f>IF($A149="","",SUMPRODUCT((COUNTIFS('紐付け'!$A$4:$A$200,$A149,'紐付け'!$C$4:$C$200,'業務'!$C$4:$C$200)&gt;0)*('業務'!$A$4:$A$200&lt;&gt;"")))</f>
        <v/>
      </c>
      <c r="AP149" s="22">
        <f>IF($A149="","",SUMPRODUCT((COUNTIFS('紐付け'!$A$4:$A$200,$A149,'紐付け'!$C$4:$C$200,'業務'!$C$4:$C$200)&gt;0)*('業務'!$A$4:$A$200&lt;&gt;"")*('業務'!$P$4:$P$200="移管")))</f>
        <v/>
      </c>
      <c r="AQ149" s="22">
        <f>IF($A149="","",SUMPRODUCT((COUNTIFS('紐付け'!$A$4:$A$200,$A149,'紐付け'!$C$4:$C$200,'業務'!$C$4:$C$200)&gt;0)*('業務'!$A$4:$A$200&lt;&gt;"")*('業務'!$P$4:$P$200="留保")))</f>
        <v/>
      </c>
      <c r="AR149" s="22">
        <f>IF($A149="","",AO149-AP149-AQ149)</f>
        <v/>
      </c>
      <c r="AS149" s="22">
        <f>IF($A149="","",SUMPRODUCT(('紐付け'!$A$4:$A$200=$A149)*('紐付け'!$C$4:$C$200&lt;&gt;"")*(COUNTIF('業務'!$C$4:$C$200,'紐付け'!$C$4:$C$200)=0)*(COUNTIFS('システム'!$A$4:$A$200,'紐付け'!$C$4:$C$200,'システム'!$N$4:$N$200,"留保")&gt;0)))</f>
        <v/>
      </c>
      <c r="AT149" s="22">
        <f>IF($A149="","",SUMPRODUCT(('紐付け'!$A$4:$A$200=$A149)*('紐付け'!$C$4:$C$200&lt;&gt;"")*(COUNTIF('業務'!$C$4:$C$200,'紐付け'!$C$4:$C$200)=0))-AS149)</f>
        <v/>
      </c>
      <c r="AU149" s="22">
        <f>IF($A149="","",COUNTIF('契約'!$C$4:$C$200,$A149))</f>
        <v/>
      </c>
      <c r="AV149" s="22">
        <f>IF($A149="","",COUNTIFS('契約'!$C$4:$C$200,$A149,'契約'!$O$4:$O$200,"移管"))</f>
        <v/>
      </c>
      <c r="AW149" s="22">
        <f>IF($A149="","",COUNTIFS('契約'!$C$4:$C$200,$A149,'契約'!$O$4:$O$200,"一部"))</f>
        <v/>
      </c>
      <c r="AX149" s="22">
        <f>IF($A149="","",COUNTIFS('契約'!$C$4:$C$200,$A149,'契約'!$O$4:$O$200,"判定保留"))</f>
        <v/>
      </c>
      <c r="AY149" s="22">
        <f>IF($A149="","",COUNTIFS('契約'!$C$4:$C$200,$A149,'契約'!$O$4:$O$200,"留保"))</f>
        <v/>
      </c>
    </row>
    <row r="150">
      <c r="A150" s="17" t="n"/>
      <c r="B150" s="17" t="n"/>
      <c r="C150" s="17" t="n"/>
      <c r="D150" s="17" t="n"/>
      <c r="E150" s="17" t="n"/>
      <c r="F150" s="17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9">
        <f>IF(COUNT(G150:R150)=0,"",SUM(G150:R150))</f>
        <v/>
      </c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9">
        <f>IF(COUNT(T150:AE150)=0,"",SUM(T150:AE150))</f>
        <v/>
      </c>
      <c r="AG150" s="17" t="n"/>
      <c r="AH150" s="17" t="n"/>
      <c r="AI150" s="17" t="n"/>
      <c r="AJ150" s="17" t="n"/>
      <c r="AK150" s="17" t="n"/>
      <c r="AL150" s="22">
        <f>IF($A150="","",IF(OR(AM150="移管",AN150="移管"),"移管",IF(OR(AM150="一部",AN150="一部"),"一部",IF(OR(AM150="判定保留",AN150="判定保留"),"判定保留",IF(OR(AM150="留保",AN150="留保"),"留保","対象外")))))</f>
        <v/>
      </c>
      <c r="AM150" s="22">
        <f>IF($A150="","",IF(AU150=0,"対象外",IF(AV150=AU150,"移管",IF(AV150+AW150&gt;0,"一部",IF(AX150&gt;0,"判定保留",IF(AY150&gt;0,"留保","対象外"))))))</f>
        <v/>
      </c>
      <c r="AN150" s="22">
        <f>IF($A150="","",IF((AO150+AS150+AT150)=0,"対象外",IF(AP150=(AO150+AS150+AT150),"移管",IF(AP150&gt;0,"一部",IF(AR150+AT150&gt;0,"判定保留",IF(AQ150+AS150&gt;0,"留保","対象外"))))))</f>
        <v/>
      </c>
      <c r="AO150" s="22">
        <f>IF($A150="","",SUMPRODUCT((COUNTIFS('紐付け'!$A$4:$A$200,$A150,'紐付け'!$C$4:$C$200,'業務'!$C$4:$C$200)&gt;0)*('業務'!$A$4:$A$200&lt;&gt;"")))</f>
        <v/>
      </c>
      <c r="AP150" s="22">
        <f>IF($A150="","",SUMPRODUCT((COUNTIFS('紐付け'!$A$4:$A$200,$A150,'紐付け'!$C$4:$C$200,'業務'!$C$4:$C$200)&gt;0)*('業務'!$A$4:$A$200&lt;&gt;"")*('業務'!$P$4:$P$200="移管")))</f>
        <v/>
      </c>
      <c r="AQ150" s="22">
        <f>IF($A150="","",SUMPRODUCT((COUNTIFS('紐付け'!$A$4:$A$200,$A150,'紐付け'!$C$4:$C$200,'業務'!$C$4:$C$200)&gt;0)*('業務'!$A$4:$A$200&lt;&gt;"")*('業務'!$P$4:$P$200="留保")))</f>
        <v/>
      </c>
      <c r="AR150" s="22">
        <f>IF($A150="","",AO150-AP150-AQ150)</f>
        <v/>
      </c>
      <c r="AS150" s="22">
        <f>IF($A150="","",SUMPRODUCT(('紐付け'!$A$4:$A$200=$A150)*('紐付け'!$C$4:$C$200&lt;&gt;"")*(COUNTIF('業務'!$C$4:$C$200,'紐付け'!$C$4:$C$200)=0)*(COUNTIFS('システム'!$A$4:$A$200,'紐付け'!$C$4:$C$200,'システム'!$N$4:$N$200,"留保")&gt;0)))</f>
        <v/>
      </c>
      <c r="AT150" s="22">
        <f>IF($A150="","",SUMPRODUCT(('紐付け'!$A$4:$A$200=$A150)*('紐付け'!$C$4:$C$200&lt;&gt;"")*(COUNTIF('業務'!$C$4:$C$200,'紐付け'!$C$4:$C$200)=0))-AS150)</f>
        <v/>
      </c>
      <c r="AU150" s="22">
        <f>IF($A150="","",COUNTIF('契約'!$C$4:$C$200,$A150))</f>
        <v/>
      </c>
      <c r="AV150" s="22">
        <f>IF($A150="","",COUNTIFS('契約'!$C$4:$C$200,$A150,'契約'!$O$4:$O$200,"移管"))</f>
        <v/>
      </c>
      <c r="AW150" s="22">
        <f>IF($A150="","",COUNTIFS('契約'!$C$4:$C$200,$A150,'契約'!$O$4:$O$200,"一部"))</f>
        <v/>
      </c>
      <c r="AX150" s="22">
        <f>IF($A150="","",COUNTIFS('契約'!$C$4:$C$200,$A150,'契約'!$O$4:$O$200,"判定保留"))</f>
        <v/>
      </c>
      <c r="AY150" s="22">
        <f>IF($A150="","",COUNTIFS('契約'!$C$4:$C$200,$A150,'契約'!$O$4:$O$200,"留保"))</f>
        <v/>
      </c>
    </row>
    <row r="151">
      <c r="A151" s="17" t="n"/>
      <c r="B151" s="17" t="n"/>
      <c r="C151" s="17" t="n"/>
      <c r="D151" s="17" t="n"/>
      <c r="E151" s="17" t="n"/>
      <c r="F151" s="17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9">
        <f>IF(COUNT(G151:R151)=0,"",SUM(G151:R151))</f>
        <v/>
      </c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9">
        <f>IF(COUNT(T151:AE151)=0,"",SUM(T151:AE151))</f>
        <v/>
      </c>
      <c r="AG151" s="17" t="n"/>
      <c r="AH151" s="17" t="n"/>
      <c r="AI151" s="17" t="n"/>
      <c r="AJ151" s="17" t="n"/>
      <c r="AK151" s="17" t="n"/>
      <c r="AL151" s="22">
        <f>IF($A151="","",IF(OR(AM151="移管",AN151="移管"),"移管",IF(OR(AM151="一部",AN151="一部"),"一部",IF(OR(AM151="判定保留",AN151="判定保留"),"判定保留",IF(OR(AM151="留保",AN151="留保"),"留保","対象外")))))</f>
        <v/>
      </c>
      <c r="AM151" s="22">
        <f>IF($A151="","",IF(AU151=0,"対象外",IF(AV151=AU151,"移管",IF(AV151+AW151&gt;0,"一部",IF(AX151&gt;0,"判定保留",IF(AY151&gt;0,"留保","対象外"))))))</f>
        <v/>
      </c>
      <c r="AN151" s="22">
        <f>IF($A151="","",IF((AO151+AS151+AT151)=0,"対象外",IF(AP151=(AO151+AS151+AT151),"移管",IF(AP151&gt;0,"一部",IF(AR151+AT151&gt;0,"判定保留",IF(AQ151+AS151&gt;0,"留保","対象外"))))))</f>
        <v/>
      </c>
      <c r="AO151" s="22">
        <f>IF($A151="","",SUMPRODUCT((COUNTIFS('紐付け'!$A$4:$A$200,$A151,'紐付け'!$C$4:$C$200,'業務'!$C$4:$C$200)&gt;0)*('業務'!$A$4:$A$200&lt;&gt;"")))</f>
        <v/>
      </c>
      <c r="AP151" s="22">
        <f>IF($A151="","",SUMPRODUCT((COUNTIFS('紐付け'!$A$4:$A$200,$A151,'紐付け'!$C$4:$C$200,'業務'!$C$4:$C$200)&gt;0)*('業務'!$A$4:$A$200&lt;&gt;"")*('業務'!$P$4:$P$200="移管")))</f>
        <v/>
      </c>
      <c r="AQ151" s="22">
        <f>IF($A151="","",SUMPRODUCT((COUNTIFS('紐付け'!$A$4:$A$200,$A151,'紐付け'!$C$4:$C$200,'業務'!$C$4:$C$200)&gt;0)*('業務'!$A$4:$A$200&lt;&gt;"")*('業務'!$P$4:$P$200="留保")))</f>
        <v/>
      </c>
      <c r="AR151" s="22">
        <f>IF($A151="","",AO151-AP151-AQ151)</f>
        <v/>
      </c>
      <c r="AS151" s="22">
        <f>IF($A151="","",SUMPRODUCT(('紐付け'!$A$4:$A$200=$A151)*('紐付け'!$C$4:$C$200&lt;&gt;"")*(COUNTIF('業務'!$C$4:$C$200,'紐付け'!$C$4:$C$200)=0)*(COUNTIFS('システム'!$A$4:$A$200,'紐付け'!$C$4:$C$200,'システム'!$N$4:$N$200,"留保")&gt;0)))</f>
        <v/>
      </c>
      <c r="AT151" s="22">
        <f>IF($A151="","",SUMPRODUCT(('紐付け'!$A$4:$A$200=$A151)*('紐付け'!$C$4:$C$200&lt;&gt;"")*(COUNTIF('業務'!$C$4:$C$200,'紐付け'!$C$4:$C$200)=0))-AS151)</f>
        <v/>
      </c>
      <c r="AU151" s="22">
        <f>IF($A151="","",COUNTIF('契約'!$C$4:$C$200,$A151))</f>
        <v/>
      </c>
      <c r="AV151" s="22">
        <f>IF($A151="","",COUNTIFS('契約'!$C$4:$C$200,$A151,'契約'!$O$4:$O$200,"移管"))</f>
        <v/>
      </c>
      <c r="AW151" s="22">
        <f>IF($A151="","",COUNTIFS('契約'!$C$4:$C$200,$A151,'契約'!$O$4:$O$200,"一部"))</f>
        <v/>
      </c>
      <c r="AX151" s="22">
        <f>IF($A151="","",COUNTIFS('契約'!$C$4:$C$200,$A151,'契約'!$O$4:$O$200,"判定保留"))</f>
        <v/>
      </c>
      <c r="AY151" s="22">
        <f>IF($A151="","",COUNTIFS('契約'!$C$4:$C$200,$A151,'契約'!$O$4:$O$200,"留保"))</f>
        <v/>
      </c>
    </row>
    <row r="152">
      <c r="A152" s="17" t="n"/>
      <c r="B152" s="17" t="n"/>
      <c r="C152" s="17" t="n"/>
      <c r="D152" s="17" t="n"/>
      <c r="E152" s="17" t="n"/>
      <c r="F152" s="17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9">
        <f>IF(COUNT(G152:R152)=0,"",SUM(G152:R152))</f>
        <v/>
      </c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9">
        <f>IF(COUNT(T152:AE152)=0,"",SUM(T152:AE152))</f>
        <v/>
      </c>
      <c r="AG152" s="17" t="n"/>
      <c r="AH152" s="17" t="n"/>
      <c r="AI152" s="17" t="n"/>
      <c r="AJ152" s="17" t="n"/>
      <c r="AK152" s="17" t="n"/>
      <c r="AL152" s="22">
        <f>IF($A152="","",IF(OR(AM152="移管",AN152="移管"),"移管",IF(OR(AM152="一部",AN152="一部"),"一部",IF(OR(AM152="判定保留",AN152="判定保留"),"判定保留",IF(OR(AM152="留保",AN152="留保"),"留保","対象外")))))</f>
        <v/>
      </c>
      <c r="AM152" s="22">
        <f>IF($A152="","",IF(AU152=0,"対象外",IF(AV152=AU152,"移管",IF(AV152+AW152&gt;0,"一部",IF(AX152&gt;0,"判定保留",IF(AY152&gt;0,"留保","対象外"))))))</f>
        <v/>
      </c>
      <c r="AN152" s="22">
        <f>IF($A152="","",IF((AO152+AS152+AT152)=0,"対象外",IF(AP152=(AO152+AS152+AT152),"移管",IF(AP152&gt;0,"一部",IF(AR152+AT152&gt;0,"判定保留",IF(AQ152+AS152&gt;0,"留保","対象外"))))))</f>
        <v/>
      </c>
      <c r="AO152" s="22">
        <f>IF($A152="","",SUMPRODUCT((COUNTIFS('紐付け'!$A$4:$A$200,$A152,'紐付け'!$C$4:$C$200,'業務'!$C$4:$C$200)&gt;0)*('業務'!$A$4:$A$200&lt;&gt;"")))</f>
        <v/>
      </c>
      <c r="AP152" s="22">
        <f>IF($A152="","",SUMPRODUCT((COUNTIFS('紐付け'!$A$4:$A$200,$A152,'紐付け'!$C$4:$C$200,'業務'!$C$4:$C$200)&gt;0)*('業務'!$A$4:$A$200&lt;&gt;"")*('業務'!$P$4:$P$200="移管")))</f>
        <v/>
      </c>
      <c r="AQ152" s="22">
        <f>IF($A152="","",SUMPRODUCT((COUNTIFS('紐付け'!$A$4:$A$200,$A152,'紐付け'!$C$4:$C$200,'業務'!$C$4:$C$200)&gt;0)*('業務'!$A$4:$A$200&lt;&gt;"")*('業務'!$P$4:$P$200="留保")))</f>
        <v/>
      </c>
      <c r="AR152" s="22">
        <f>IF($A152="","",AO152-AP152-AQ152)</f>
        <v/>
      </c>
      <c r="AS152" s="22">
        <f>IF($A152="","",SUMPRODUCT(('紐付け'!$A$4:$A$200=$A152)*('紐付け'!$C$4:$C$200&lt;&gt;"")*(COUNTIF('業務'!$C$4:$C$200,'紐付け'!$C$4:$C$200)=0)*(COUNTIFS('システム'!$A$4:$A$200,'紐付け'!$C$4:$C$200,'システム'!$N$4:$N$200,"留保")&gt;0)))</f>
        <v/>
      </c>
      <c r="AT152" s="22">
        <f>IF($A152="","",SUMPRODUCT(('紐付け'!$A$4:$A$200=$A152)*('紐付け'!$C$4:$C$200&lt;&gt;"")*(COUNTIF('業務'!$C$4:$C$200,'紐付け'!$C$4:$C$200)=0))-AS152)</f>
        <v/>
      </c>
      <c r="AU152" s="22">
        <f>IF($A152="","",COUNTIF('契約'!$C$4:$C$200,$A152))</f>
        <v/>
      </c>
      <c r="AV152" s="22">
        <f>IF($A152="","",COUNTIFS('契約'!$C$4:$C$200,$A152,'契約'!$O$4:$O$200,"移管"))</f>
        <v/>
      </c>
      <c r="AW152" s="22">
        <f>IF($A152="","",COUNTIFS('契約'!$C$4:$C$200,$A152,'契約'!$O$4:$O$200,"一部"))</f>
        <v/>
      </c>
      <c r="AX152" s="22">
        <f>IF($A152="","",COUNTIFS('契約'!$C$4:$C$200,$A152,'契約'!$O$4:$O$200,"判定保留"))</f>
        <v/>
      </c>
      <c r="AY152" s="22">
        <f>IF($A152="","",COUNTIFS('契約'!$C$4:$C$200,$A152,'契約'!$O$4:$O$200,"留保"))</f>
        <v/>
      </c>
    </row>
    <row r="153">
      <c r="A153" s="17" t="n"/>
      <c r="B153" s="17" t="n"/>
      <c r="C153" s="17" t="n"/>
      <c r="D153" s="17" t="n"/>
      <c r="E153" s="17" t="n"/>
      <c r="F153" s="17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9">
        <f>IF(COUNT(G153:R153)=0,"",SUM(G153:R153))</f>
        <v/>
      </c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9">
        <f>IF(COUNT(T153:AE153)=0,"",SUM(T153:AE153))</f>
        <v/>
      </c>
      <c r="AG153" s="17" t="n"/>
      <c r="AH153" s="17" t="n"/>
      <c r="AI153" s="17" t="n"/>
      <c r="AJ153" s="17" t="n"/>
      <c r="AK153" s="17" t="n"/>
      <c r="AL153" s="22">
        <f>IF($A153="","",IF(OR(AM153="移管",AN153="移管"),"移管",IF(OR(AM153="一部",AN153="一部"),"一部",IF(OR(AM153="判定保留",AN153="判定保留"),"判定保留",IF(OR(AM153="留保",AN153="留保"),"留保","対象外")))))</f>
        <v/>
      </c>
      <c r="AM153" s="22">
        <f>IF($A153="","",IF(AU153=0,"対象外",IF(AV153=AU153,"移管",IF(AV153+AW153&gt;0,"一部",IF(AX153&gt;0,"判定保留",IF(AY153&gt;0,"留保","対象外"))))))</f>
        <v/>
      </c>
      <c r="AN153" s="22">
        <f>IF($A153="","",IF((AO153+AS153+AT153)=0,"対象外",IF(AP153=(AO153+AS153+AT153),"移管",IF(AP153&gt;0,"一部",IF(AR153+AT153&gt;0,"判定保留",IF(AQ153+AS153&gt;0,"留保","対象外"))))))</f>
        <v/>
      </c>
      <c r="AO153" s="22">
        <f>IF($A153="","",SUMPRODUCT((COUNTIFS('紐付け'!$A$4:$A$200,$A153,'紐付け'!$C$4:$C$200,'業務'!$C$4:$C$200)&gt;0)*('業務'!$A$4:$A$200&lt;&gt;"")))</f>
        <v/>
      </c>
      <c r="AP153" s="22">
        <f>IF($A153="","",SUMPRODUCT((COUNTIFS('紐付け'!$A$4:$A$200,$A153,'紐付け'!$C$4:$C$200,'業務'!$C$4:$C$200)&gt;0)*('業務'!$A$4:$A$200&lt;&gt;"")*('業務'!$P$4:$P$200="移管")))</f>
        <v/>
      </c>
      <c r="AQ153" s="22">
        <f>IF($A153="","",SUMPRODUCT((COUNTIFS('紐付け'!$A$4:$A$200,$A153,'紐付け'!$C$4:$C$200,'業務'!$C$4:$C$200)&gt;0)*('業務'!$A$4:$A$200&lt;&gt;"")*('業務'!$P$4:$P$200="留保")))</f>
        <v/>
      </c>
      <c r="AR153" s="22">
        <f>IF($A153="","",AO153-AP153-AQ153)</f>
        <v/>
      </c>
      <c r="AS153" s="22">
        <f>IF($A153="","",SUMPRODUCT(('紐付け'!$A$4:$A$200=$A153)*('紐付け'!$C$4:$C$200&lt;&gt;"")*(COUNTIF('業務'!$C$4:$C$200,'紐付け'!$C$4:$C$200)=0)*(COUNTIFS('システム'!$A$4:$A$200,'紐付け'!$C$4:$C$200,'システム'!$N$4:$N$200,"留保")&gt;0)))</f>
        <v/>
      </c>
      <c r="AT153" s="22">
        <f>IF($A153="","",SUMPRODUCT(('紐付け'!$A$4:$A$200=$A153)*('紐付け'!$C$4:$C$200&lt;&gt;"")*(COUNTIF('業務'!$C$4:$C$200,'紐付け'!$C$4:$C$200)=0))-AS153)</f>
        <v/>
      </c>
      <c r="AU153" s="22">
        <f>IF($A153="","",COUNTIF('契約'!$C$4:$C$200,$A153))</f>
        <v/>
      </c>
      <c r="AV153" s="22">
        <f>IF($A153="","",COUNTIFS('契約'!$C$4:$C$200,$A153,'契約'!$O$4:$O$200,"移管"))</f>
        <v/>
      </c>
      <c r="AW153" s="22">
        <f>IF($A153="","",COUNTIFS('契約'!$C$4:$C$200,$A153,'契約'!$O$4:$O$200,"一部"))</f>
        <v/>
      </c>
      <c r="AX153" s="22">
        <f>IF($A153="","",COUNTIFS('契約'!$C$4:$C$200,$A153,'契約'!$O$4:$O$200,"判定保留"))</f>
        <v/>
      </c>
      <c r="AY153" s="22">
        <f>IF($A153="","",COUNTIFS('契約'!$C$4:$C$200,$A153,'契約'!$O$4:$O$200,"留保"))</f>
        <v/>
      </c>
    </row>
    <row r="154">
      <c r="A154" s="17" t="n"/>
      <c r="B154" s="17" t="n"/>
      <c r="C154" s="17" t="n"/>
      <c r="D154" s="17" t="n"/>
      <c r="E154" s="17" t="n"/>
      <c r="F154" s="17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9">
        <f>IF(COUNT(G154:R154)=0,"",SUM(G154:R154))</f>
        <v/>
      </c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9">
        <f>IF(COUNT(T154:AE154)=0,"",SUM(T154:AE154))</f>
        <v/>
      </c>
      <c r="AG154" s="17" t="n"/>
      <c r="AH154" s="17" t="n"/>
      <c r="AI154" s="17" t="n"/>
      <c r="AJ154" s="17" t="n"/>
      <c r="AK154" s="17" t="n"/>
      <c r="AL154" s="22">
        <f>IF($A154="","",IF(OR(AM154="移管",AN154="移管"),"移管",IF(OR(AM154="一部",AN154="一部"),"一部",IF(OR(AM154="判定保留",AN154="判定保留"),"判定保留",IF(OR(AM154="留保",AN154="留保"),"留保","対象外")))))</f>
        <v/>
      </c>
      <c r="AM154" s="22">
        <f>IF($A154="","",IF(AU154=0,"対象外",IF(AV154=AU154,"移管",IF(AV154+AW154&gt;0,"一部",IF(AX154&gt;0,"判定保留",IF(AY154&gt;0,"留保","対象外"))))))</f>
        <v/>
      </c>
      <c r="AN154" s="22">
        <f>IF($A154="","",IF((AO154+AS154+AT154)=0,"対象外",IF(AP154=(AO154+AS154+AT154),"移管",IF(AP154&gt;0,"一部",IF(AR154+AT154&gt;0,"判定保留",IF(AQ154+AS154&gt;0,"留保","対象外"))))))</f>
        <v/>
      </c>
      <c r="AO154" s="22">
        <f>IF($A154="","",SUMPRODUCT((COUNTIFS('紐付け'!$A$4:$A$200,$A154,'紐付け'!$C$4:$C$200,'業務'!$C$4:$C$200)&gt;0)*('業務'!$A$4:$A$200&lt;&gt;"")))</f>
        <v/>
      </c>
      <c r="AP154" s="22">
        <f>IF($A154="","",SUMPRODUCT((COUNTIFS('紐付け'!$A$4:$A$200,$A154,'紐付け'!$C$4:$C$200,'業務'!$C$4:$C$200)&gt;0)*('業務'!$A$4:$A$200&lt;&gt;"")*('業務'!$P$4:$P$200="移管")))</f>
        <v/>
      </c>
      <c r="AQ154" s="22">
        <f>IF($A154="","",SUMPRODUCT((COUNTIFS('紐付け'!$A$4:$A$200,$A154,'紐付け'!$C$4:$C$200,'業務'!$C$4:$C$200)&gt;0)*('業務'!$A$4:$A$200&lt;&gt;"")*('業務'!$P$4:$P$200="留保")))</f>
        <v/>
      </c>
      <c r="AR154" s="22">
        <f>IF($A154="","",AO154-AP154-AQ154)</f>
        <v/>
      </c>
      <c r="AS154" s="22">
        <f>IF($A154="","",SUMPRODUCT(('紐付け'!$A$4:$A$200=$A154)*('紐付け'!$C$4:$C$200&lt;&gt;"")*(COUNTIF('業務'!$C$4:$C$200,'紐付け'!$C$4:$C$200)=0)*(COUNTIFS('システム'!$A$4:$A$200,'紐付け'!$C$4:$C$200,'システム'!$N$4:$N$200,"留保")&gt;0)))</f>
        <v/>
      </c>
      <c r="AT154" s="22">
        <f>IF($A154="","",SUMPRODUCT(('紐付け'!$A$4:$A$200=$A154)*('紐付け'!$C$4:$C$200&lt;&gt;"")*(COUNTIF('業務'!$C$4:$C$200,'紐付け'!$C$4:$C$200)=0))-AS154)</f>
        <v/>
      </c>
      <c r="AU154" s="22">
        <f>IF($A154="","",COUNTIF('契約'!$C$4:$C$200,$A154))</f>
        <v/>
      </c>
      <c r="AV154" s="22">
        <f>IF($A154="","",COUNTIFS('契約'!$C$4:$C$200,$A154,'契約'!$O$4:$O$200,"移管"))</f>
        <v/>
      </c>
      <c r="AW154" s="22">
        <f>IF($A154="","",COUNTIFS('契約'!$C$4:$C$200,$A154,'契約'!$O$4:$O$200,"一部"))</f>
        <v/>
      </c>
      <c r="AX154" s="22">
        <f>IF($A154="","",COUNTIFS('契約'!$C$4:$C$200,$A154,'契約'!$O$4:$O$200,"判定保留"))</f>
        <v/>
      </c>
      <c r="AY154" s="22">
        <f>IF($A154="","",COUNTIFS('契約'!$C$4:$C$200,$A154,'契約'!$O$4:$O$200,"留保"))</f>
        <v/>
      </c>
    </row>
    <row r="155">
      <c r="A155" s="17" t="n"/>
      <c r="B155" s="17" t="n"/>
      <c r="C155" s="17" t="n"/>
      <c r="D155" s="17" t="n"/>
      <c r="E155" s="17" t="n"/>
      <c r="F155" s="17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9">
        <f>IF(COUNT(G155:R155)=0,"",SUM(G155:R155))</f>
        <v/>
      </c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9">
        <f>IF(COUNT(T155:AE155)=0,"",SUM(T155:AE155))</f>
        <v/>
      </c>
      <c r="AG155" s="17" t="n"/>
      <c r="AH155" s="17" t="n"/>
      <c r="AI155" s="17" t="n"/>
      <c r="AJ155" s="17" t="n"/>
      <c r="AK155" s="17" t="n"/>
      <c r="AL155" s="22">
        <f>IF($A155="","",IF(OR(AM155="移管",AN155="移管"),"移管",IF(OR(AM155="一部",AN155="一部"),"一部",IF(OR(AM155="判定保留",AN155="判定保留"),"判定保留",IF(OR(AM155="留保",AN155="留保"),"留保","対象外")))))</f>
        <v/>
      </c>
      <c r="AM155" s="22">
        <f>IF($A155="","",IF(AU155=0,"対象外",IF(AV155=AU155,"移管",IF(AV155+AW155&gt;0,"一部",IF(AX155&gt;0,"判定保留",IF(AY155&gt;0,"留保","対象外"))))))</f>
        <v/>
      </c>
      <c r="AN155" s="22">
        <f>IF($A155="","",IF((AO155+AS155+AT155)=0,"対象外",IF(AP155=(AO155+AS155+AT155),"移管",IF(AP155&gt;0,"一部",IF(AR155+AT155&gt;0,"判定保留",IF(AQ155+AS155&gt;0,"留保","対象外"))))))</f>
        <v/>
      </c>
      <c r="AO155" s="22">
        <f>IF($A155="","",SUMPRODUCT((COUNTIFS('紐付け'!$A$4:$A$200,$A155,'紐付け'!$C$4:$C$200,'業務'!$C$4:$C$200)&gt;0)*('業務'!$A$4:$A$200&lt;&gt;"")))</f>
        <v/>
      </c>
      <c r="AP155" s="22">
        <f>IF($A155="","",SUMPRODUCT((COUNTIFS('紐付け'!$A$4:$A$200,$A155,'紐付け'!$C$4:$C$200,'業務'!$C$4:$C$200)&gt;0)*('業務'!$A$4:$A$200&lt;&gt;"")*('業務'!$P$4:$P$200="移管")))</f>
        <v/>
      </c>
      <c r="AQ155" s="22">
        <f>IF($A155="","",SUMPRODUCT((COUNTIFS('紐付け'!$A$4:$A$200,$A155,'紐付け'!$C$4:$C$200,'業務'!$C$4:$C$200)&gt;0)*('業務'!$A$4:$A$200&lt;&gt;"")*('業務'!$P$4:$P$200="留保")))</f>
        <v/>
      </c>
      <c r="AR155" s="22">
        <f>IF($A155="","",AO155-AP155-AQ155)</f>
        <v/>
      </c>
      <c r="AS155" s="22">
        <f>IF($A155="","",SUMPRODUCT(('紐付け'!$A$4:$A$200=$A155)*('紐付け'!$C$4:$C$200&lt;&gt;"")*(COUNTIF('業務'!$C$4:$C$200,'紐付け'!$C$4:$C$200)=0)*(COUNTIFS('システム'!$A$4:$A$200,'紐付け'!$C$4:$C$200,'システム'!$N$4:$N$200,"留保")&gt;0)))</f>
        <v/>
      </c>
      <c r="AT155" s="22">
        <f>IF($A155="","",SUMPRODUCT(('紐付け'!$A$4:$A$200=$A155)*('紐付け'!$C$4:$C$200&lt;&gt;"")*(COUNTIF('業務'!$C$4:$C$200,'紐付け'!$C$4:$C$200)=0))-AS155)</f>
        <v/>
      </c>
      <c r="AU155" s="22">
        <f>IF($A155="","",COUNTIF('契約'!$C$4:$C$200,$A155))</f>
        <v/>
      </c>
      <c r="AV155" s="22">
        <f>IF($A155="","",COUNTIFS('契約'!$C$4:$C$200,$A155,'契約'!$O$4:$O$200,"移管"))</f>
        <v/>
      </c>
      <c r="AW155" s="22">
        <f>IF($A155="","",COUNTIFS('契約'!$C$4:$C$200,$A155,'契約'!$O$4:$O$200,"一部"))</f>
        <v/>
      </c>
      <c r="AX155" s="22">
        <f>IF($A155="","",COUNTIFS('契約'!$C$4:$C$200,$A155,'契約'!$O$4:$O$200,"判定保留"))</f>
        <v/>
      </c>
      <c r="AY155" s="22">
        <f>IF($A155="","",COUNTIFS('契約'!$C$4:$C$200,$A155,'契約'!$O$4:$O$200,"留保"))</f>
        <v/>
      </c>
    </row>
    <row r="156">
      <c r="A156" s="17" t="n"/>
      <c r="B156" s="17" t="n"/>
      <c r="C156" s="17" t="n"/>
      <c r="D156" s="17" t="n"/>
      <c r="E156" s="17" t="n"/>
      <c r="F156" s="17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9">
        <f>IF(COUNT(G156:R156)=0,"",SUM(G156:R156))</f>
        <v/>
      </c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9">
        <f>IF(COUNT(T156:AE156)=0,"",SUM(T156:AE156))</f>
        <v/>
      </c>
      <c r="AG156" s="17" t="n"/>
      <c r="AH156" s="17" t="n"/>
      <c r="AI156" s="17" t="n"/>
      <c r="AJ156" s="17" t="n"/>
      <c r="AK156" s="17" t="n"/>
      <c r="AL156" s="22">
        <f>IF($A156="","",IF(OR(AM156="移管",AN156="移管"),"移管",IF(OR(AM156="一部",AN156="一部"),"一部",IF(OR(AM156="判定保留",AN156="判定保留"),"判定保留",IF(OR(AM156="留保",AN156="留保"),"留保","対象外")))))</f>
        <v/>
      </c>
      <c r="AM156" s="22">
        <f>IF($A156="","",IF(AU156=0,"対象外",IF(AV156=AU156,"移管",IF(AV156+AW156&gt;0,"一部",IF(AX156&gt;0,"判定保留",IF(AY156&gt;0,"留保","対象外"))))))</f>
        <v/>
      </c>
      <c r="AN156" s="22">
        <f>IF($A156="","",IF((AO156+AS156+AT156)=0,"対象外",IF(AP156=(AO156+AS156+AT156),"移管",IF(AP156&gt;0,"一部",IF(AR156+AT156&gt;0,"判定保留",IF(AQ156+AS156&gt;0,"留保","対象外"))))))</f>
        <v/>
      </c>
      <c r="AO156" s="22">
        <f>IF($A156="","",SUMPRODUCT((COUNTIFS('紐付け'!$A$4:$A$200,$A156,'紐付け'!$C$4:$C$200,'業務'!$C$4:$C$200)&gt;0)*('業務'!$A$4:$A$200&lt;&gt;"")))</f>
        <v/>
      </c>
      <c r="AP156" s="22">
        <f>IF($A156="","",SUMPRODUCT((COUNTIFS('紐付け'!$A$4:$A$200,$A156,'紐付け'!$C$4:$C$200,'業務'!$C$4:$C$200)&gt;0)*('業務'!$A$4:$A$200&lt;&gt;"")*('業務'!$P$4:$P$200="移管")))</f>
        <v/>
      </c>
      <c r="AQ156" s="22">
        <f>IF($A156="","",SUMPRODUCT((COUNTIFS('紐付け'!$A$4:$A$200,$A156,'紐付け'!$C$4:$C$200,'業務'!$C$4:$C$200)&gt;0)*('業務'!$A$4:$A$200&lt;&gt;"")*('業務'!$P$4:$P$200="留保")))</f>
        <v/>
      </c>
      <c r="AR156" s="22">
        <f>IF($A156="","",AO156-AP156-AQ156)</f>
        <v/>
      </c>
      <c r="AS156" s="22">
        <f>IF($A156="","",SUMPRODUCT(('紐付け'!$A$4:$A$200=$A156)*('紐付け'!$C$4:$C$200&lt;&gt;"")*(COUNTIF('業務'!$C$4:$C$200,'紐付け'!$C$4:$C$200)=0)*(COUNTIFS('システム'!$A$4:$A$200,'紐付け'!$C$4:$C$200,'システム'!$N$4:$N$200,"留保")&gt;0)))</f>
        <v/>
      </c>
      <c r="AT156" s="22">
        <f>IF($A156="","",SUMPRODUCT(('紐付け'!$A$4:$A$200=$A156)*('紐付け'!$C$4:$C$200&lt;&gt;"")*(COUNTIF('業務'!$C$4:$C$200,'紐付け'!$C$4:$C$200)=0))-AS156)</f>
        <v/>
      </c>
      <c r="AU156" s="22">
        <f>IF($A156="","",COUNTIF('契約'!$C$4:$C$200,$A156))</f>
        <v/>
      </c>
      <c r="AV156" s="22">
        <f>IF($A156="","",COUNTIFS('契約'!$C$4:$C$200,$A156,'契約'!$O$4:$O$200,"移管"))</f>
        <v/>
      </c>
      <c r="AW156" s="22">
        <f>IF($A156="","",COUNTIFS('契約'!$C$4:$C$200,$A156,'契約'!$O$4:$O$200,"一部"))</f>
        <v/>
      </c>
      <c r="AX156" s="22">
        <f>IF($A156="","",COUNTIFS('契約'!$C$4:$C$200,$A156,'契約'!$O$4:$O$200,"判定保留"))</f>
        <v/>
      </c>
      <c r="AY156" s="22">
        <f>IF($A156="","",COUNTIFS('契約'!$C$4:$C$200,$A156,'契約'!$O$4:$O$200,"留保"))</f>
        <v/>
      </c>
    </row>
    <row r="157">
      <c r="A157" s="17" t="n"/>
      <c r="B157" s="17" t="n"/>
      <c r="C157" s="17" t="n"/>
      <c r="D157" s="17" t="n"/>
      <c r="E157" s="17" t="n"/>
      <c r="F157" s="17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9">
        <f>IF(COUNT(G157:R157)=0,"",SUM(G157:R157))</f>
        <v/>
      </c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9">
        <f>IF(COUNT(T157:AE157)=0,"",SUM(T157:AE157))</f>
        <v/>
      </c>
      <c r="AG157" s="17" t="n"/>
      <c r="AH157" s="17" t="n"/>
      <c r="AI157" s="17" t="n"/>
      <c r="AJ157" s="17" t="n"/>
      <c r="AK157" s="17" t="n"/>
      <c r="AL157" s="22">
        <f>IF($A157="","",IF(OR(AM157="移管",AN157="移管"),"移管",IF(OR(AM157="一部",AN157="一部"),"一部",IF(OR(AM157="判定保留",AN157="判定保留"),"判定保留",IF(OR(AM157="留保",AN157="留保"),"留保","対象外")))))</f>
        <v/>
      </c>
      <c r="AM157" s="22">
        <f>IF($A157="","",IF(AU157=0,"対象外",IF(AV157=AU157,"移管",IF(AV157+AW157&gt;0,"一部",IF(AX157&gt;0,"判定保留",IF(AY157&gt;0,"留保","対象外"))))))</f>
        <v/>
      </c>
      <c r="AN157" s="22">
        <f>IF($A157="","",IF((AO157+AS157+AT157)=0,"対象外",IF(AP157=(AO157+AS157+AT157),"移管",IF(AP157&gt;0,"一部",IF(AR157+AT157&gt;0,"判定保留",IF(AQ157+AS157&gt;0,"留保","対象外"))))))</f>
        <v/>
      </c>
      <c r="AO157" s="22">
        <f>IF($A157="","",SUMPRODUCT((COUNTIFS('紐付け'!$A$4:$A$200,$A157,'紐付け'!$C$4:$C$200,'業務'!$C$4:$C$200)&gt;0)*('業務'!$A$4:$A$200&lt;&gt;"")))</f>
        <v/>
      </c>
      <c r="AP157" s="22">
        <f>IF($A157="","",SUMPRODUCT((COUNTIFS('紐付け'!$A$4:$A$200,$A157,'紐付け'!$C$4:$C$200,'業務'!$C$4:$C$200)&gt;0)*('業務'!$A$4:$A$200&lt;&gt;"")*('業務'!$P$4:$P$200="移管")))</f>
        <v/>
      </c>
      <c r="AQ157" s="22">
        <f>IF($A157="","",SUMPRODUCT((COUNTIFS('紐付け'!$A$4:$A$200,$A157,'紐付け'!$C$4:$C$200,'業務'!$C$4:$C$200)&gt;0)*('業務'!$A$4:$A$200&lt;&gt;"")*('業務'!$P$4:$P$200="留保")))</f>
        <v/>
      </c>
      <c r="AR157" s="22">
        <f>IF($A157="","",AO157-AP157-AQ157)</f>
        <v/>
      </c>
      <c r="AS157" s="22">
        <f>IF($A157="","",SUMPRODUCT(('紐付け'!$A$4:$A$200=$A157)*('紐付け'!$C$4:$C$200&lt;&gt;"")*(COUNTIF('業務'!$C$4:$C$200,'紐付け'!$C$4:$C$200)=0)*(COUNTIFS('システム'!$A$4:$A$200,'紐付け'!$C$4:$C$200,'システム'!$N$4:$N$200,"留保")&gt;0)))</f>
        <v/>
      </c>
      <c r="AT157" s="22">
        <f>IF($A157="","",SUMPRODUCT(('紐付け'!$A$4:$A$200=$A157)*('紐付け'!$C$4:$C$200&lt;&gt;"")*(COUNTIF('業務'!$C$4:$C$200,'紐付け'!$C$4:$C$200)=0))-AS157)</f>
        <v/>
      </c>
      <c r="AU157" s="22">
        <f>IF($A157="","",COUNTIF('契約'!$C$4:$C$200,$A157))</f>
        <v/>
      </c>
      <c r="AV157" s="22">
        <f>IF($A157="","",COUNTIFS('契約'!$C$4:$C$200,$A157,'契約'!$O$4:$O$200,"移管"))</f>
        <v/>
      </c>
      <c r="AW157" s="22">
        <f>IF($A157="","",COUNTIFS('契約'!$C$4:$C$200,$A157,'契約'!$O$4:$O$200,"一部"))</f>
        <v/>
      </c>
      <c r="AX157" s="22">
        <f>IF($A157="","",COUNTIFS('契約'!$C$4:$C$200,$A157,'契約'!$O$4:$O$200,"判定保留"))</f>
        <v/>
      </c>
      <c r="AY157" s="22">
        <f>IF($A157="","",COUNTIFS('契約'!$C$4:$C$200,$A157,'契約'!$O$4:$O$200,"留保"))</f>
        <v/>
      </c>
    </row>
    <row r="158">
      <c r="A158" s="17" t="n"/>
      <c r="B158" s="17" t="n"/>
      <c r="C158" s="17" t="n"/>
      <c r="D158" s="17" t="n"/>
      <c r="E158" s="17" t="n"/>
      <c r="F158" s="17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9">
        <f>IF(COUNT(G158:R158)=0,"",SUM(G158:R158))</f>
        <v/>
      </c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9">
        <f>IF(COUNT(T158:AE158)=0,"",SUM(T158:AE158))</f>
        <v/>
      </c>
      <c r="AG158" s="17" t="n"/>
      <c r="AH158" s="17" t="n"/>
      <c r="AI158" s="17" t="n"/>
      <c r="AJ158" s="17" t="n"/>
      <c r="AK158" s="17" t="n"/>
      <c r="AL158" s="22">
        <f>IF($A158="","",IF(OR(AM158="移管",AN158="移管"),"移管",IF(OR(AM158="一部",AN158="一部"),"一部",IF(OR(AM158="判定保留",AN158="判定保留"),"判定保留",IF(OR(AM158="留保",AN158="留保"),"留保","対象外")))))</f>
        <v/>
      </c>
      <c r="AM158" s="22">
        <f>IF($A158="","",IF(AU158=0,"対象外",IF(AV158=AU158,"移管",IF(AV158+AW158&gt;0,"一部",IF(AX158&gt;0,"判定保留",IF(AY158&gt;0,"留保","対象外"))))))</f>
        <v/>
      </c>
      <c r="AN158" s="22">
        <f>IF($A158="","",IF((AO158+AS158+AT158)=0,"対象外",IF(AP158=(AO158+AS158+AT158),"移管",IF(AP158&gt;0,"一部",IF(AR158+AT158&gt;0,"判定保留",IF(AQ158+AS158&gt;0,"留保","対象外"))))))</f>
        <v/>
      </c>
      <c r="AO158" s="22">
        <f>IF($A158="","",SUMPRODUCT((COUNTIFS('紐付け'!$A$4:$A$200,$A158,'紐付け'!$C$4:$C$200,'業務'!$C$4:$C$200)&gt;0)*('業務'!$A$4:$A$200&lt;&gt;"")))</f>
        <v/>
      </c>
      <c r="AP158" s="22">
        <f>IF($A158="","",SUMPRODUCT((COUNTIFS('紐付け'!$A$4:$A$200,$A158,'紐付け'!$C$4:$C$200,'業務'!$C$4:$C$200)&gt;0)*('業務'!$A$4:$A$200&lt;&gt;"")*('業務'!$P$4:$P$200="移管")))</f>
        <v/>
      </c>
      <c r="AQ158" s="22">
        <f>IF($A158="","",SUMPRODUCT((COUNTIFS('紐付け'!$A$4:$A$200,$A158,'紐付け'!$C$4:$C$200,'業務'!$C$4:$C$200)&gt;0)*('業務'!$A$4:$A$200&lt;&gt;"")*('業務'!$P$4:$P$200="留保")))</f>
        <v/>
      </c>
      <c r="AR158" s="22">
        <f>IF($A158="","",AO158-AP158-AQ158)</f>
        <v/>
      </c>
      <c r="AS158" s="22">
        <f>IF($A158="","",SUMPRODUCT(('紐付け'!$A$4:$A$200=$A158)*('紐付け'!$C$4:$C$200&lt;&gt;"")*(COUNTIF('業務'!$C$4:$C$200,'紐付け'!$C$4:$C$200)=0)*(COUNTIFS('システム'!$A$4:$A$200,'紐付け'!$C$4:$C$200,'システム'!$N$4:$N$200,"留保")&gt;0)))</f>
        <v/>
      </c>
      <c r="AT158" s="22">
        <f>IF($A158="","",SUMPRODUCT(('紐付け'!$A$4:$A$200=$A158)*('紐付け'!$C$4:$C$200&lt;&gt;"")*(COUNTIF('業務'!$C$4:$C$200,'紐付け'!$C$4:$C$200)=0))-AS158)</f>
        <v/>
      </c>
      <c r="AU158" s="22">
        <f>IF($A158="","",COUNTIF('契約'!$C$4:$C$200,$A158))</f>
        <v/>
      </c>
      <c r="AV158" s="22">
        <f>IF($A158="","",COUNTIFS('契約'!$C$4:$C$200,$A158,'契約'!$O$4:$O$200,"移管"))</f>
        <v/>
      </c>
      <c r="AW158" s="22">
        <f>IF($A158="","",COUNTIFS('契約'!$C$4:$C$200,$A158,'契約'!$O$4:$O$200,"一部"))</f>
        <v/>
      </c>
      <c r="AX158" s="22">
        <f>IF($A158="","",COUNTIFS('契約'!$C$4:$C$200,$A158,'契約'!$O$4:$O$200,"判定保留"))</f>
        <v/>
      </c>
      <c r="AY158" s="22">
        <f>IF($A158="","",COUNTIFS('契約'!$C$4:$C$200,$A158,'契約'!$O$4:$O$200,"留保"))</f>
        <v/>
      </c>
    </row>
    <row r="159">
      <c r="A159" s="17" t="n"/>
      <c r="B159" s="17" t="n"/>
      <c r="C159" s="17" t="n"/>
      <c r="D159" s="17" t="n"/>
      <c r="E159" s="17" t="n"/>
      <c r="F159" s="17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9">
        <f>IF(COUNT(G159:R159)=0,"",SUM(G159:R159))</f>
        <v/>
      </c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9">
        <f>IF(COUNT(T159:AE159)=0,"",SUM(T159:AE159))</f>
        <v/>
      </c>
      <c r="AG159" s="17" t="n"/>
      <c r="AH159" s="17" t="n"/>
      <c r="AI159" s="17" t="n"/>
      <c r="AJ159" s="17" t="n"/>
      <c r="AK159" s="17" t="n"/>
      <c r="AL159" s="22">
        <f>IF($A159="","",IF(OR(AM159="移管",AN159="移管"),"移管",IF(OR(AM159="一部",AN159="一部"),"一部",IF(OR(AM159="判定保留",AN159="判定保留"),"判定保留",IF(OR(AM159="留保",AN159="留保"),"留保","対象外")))))</f>
        <v/>
      </c>
      <c r="AM159" s="22">
        <f>IF($A159="","",IF(AU159=0,"対象外",IF(AV159=AU159,"移管",IF(AV159+AW159&gt;0,"一部",IF(AX159&gt;0,"判定保留",IF(AY159&gt;0,"留保","対象外"))))))</f>
        <v/>
      </c>
      <c r="AN159" s="22">
        <f>IF($A159="","",IF((AO159+AS159+AT159)=0,"対象外",IF(AP159=(AO159+AS159+AT159),"移管",IF(AP159&gt;0,"一部",IF(AR159+AT159&gt;0,"判定保留",IF(AQ159+AS159&gt;0,"留保","対象外"))))))</f>
        <v/>
      </c>
      <c r="AO159" s="22">
        <f>IF($A159="","",SUMPRODUCT((COUNTIFS('紐付け'!$A$4:$A$200,$A159,'紐付け'!$C$4:$C$200,'業務'!$C$4:$C$200)&gt;0)*('業務'!$A$4:$A$200&lt;&gt;"")))</f>
        <v/>
      </c>
      <c r="AP159" s="22">
        <f>IF($A159="","",SUMPRODUCT((COUNTIFS('紐付け'!$A$4:$A$200,$A159,'紐付け'!$C$4:$C$200,'業務'!$C$4:$C$200)&gt;0)*('業務'!$A$4:$A$200&lt;&gt;"")*('業務'!$P$4:$P$200="移管")))</f>
        <v/>
      </c>
      <c r="AQ159" s="22">
        <f>IF($A159="","",SUMPRODUCT((COUNTIFS('紐付け'!$A$4:$A$200,$A159,'紐付け'!$C$4:$C$200,'業務'!$C$4:$C$200)&gt;0)*('業務'!$A$4:$A$200&lt;&gt;"")*('業務'!$P$4:$P$200="留保")))</f>
        <v/>
      </c>
      <c r="AR159" s="22">
        <f>IF($A159="","",AO159-AP159-AQ159)</f>
        <v/>
      </c>
      <c r="AS159" s="22">
        <f>IF($A159="","",SUMPRODUCT(('紐付け'!$A$4:$A$200=$A159)*('紐付け'!$C$4:$C$200&lt;&gt;"")*(COUNTIF('業務'!$C$4:$C$200,'紐付け'!$C$4:$C$200)=0)*(COUNTIFS('システム'!$A$4:$A$200,'紐付け'!$C$4:$C$200,'システム'!$N$4:$N$200,"留保")&gt;0)))</f>
        <v/>
      </c>
      <c r="AT159" s="22">
        <f>IF($A159="","",SUMPRODUCT(('紐付け'!$A$4:$A$200=$A159)*('紐付け'!$C$4:$C$200&lt;&gt;"")*(COUNTIF('業務'!$C$4:$C$200,'紐付け'!$C$4:$C$200)=0))-AS159)</f>
        <v/>
      </c>
      <c r="AU159" s="22">
        <f>IF($A159="","",COUNTIF('契約'!$C$4:$C$200,$A159))</f>
        <v/>
      </c>
      <c r="AV159" s="22">
        <f>IF($A159="","",COUNTIFS('契約'!$C$4:$C$200,$A159,'契約'!$O$4:$O$200,"移管"))</f>
        <v/>
      </c>
      <c r="AW159" s="22">
        <f>IF($A159="","",COUNTIFS('契約'!$C$4:$C$200,$A159,'契約'!$O$4:$O$200,"一部"))</f>
        <v/>
      </c>
      <c r="AX159" s="22">
        <f>IF($A159="","",COUNTIFS('契約'!$C$4:$C$200,$A159,'契約'!$O$4:$O$200,"判定保留"))</f>
        <v/>
      </c>
      <c r="AY159" s="22">
        <f>IF($A159="","",COUNTIFS('契約'!$C$4:$C$200,$A159,'契約'!$O$4:$O$200,"留保"))</f>
        <v/>
      </c>
    </row>
    <row r="160">
      <c r="A160" s="17" t="n"/>
      <c r="B160" s="17" t="n"/>
      <c r="C160" s="17" t="n"/>
      <c r="D160" s="17" t="n"/>
      <c r="E160" s="17" t="n"/>
      <c r="F160" s="17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9">
        <f>IF(COUNT(G160:R160)=0,"",SUM(G160:R160))</f>
        <v/>
      </c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9">
        <f>IF(COUNT(T160:AE160)=0,"",SUM(T160:AE160))</f>
        <v/>
      </c>
      <c r="AG160" s="17" t="n"/>
      <c r="AH160" s="17" t="n"/>
      <c r="AI160" s="17" t="n"/>
      <c r="AJ160" s="17" t="n"/>
      <c r="AK160" s="17" t="n"/>
      <c r="AL160" s="22">
        <f>IF($A160="","",IF(OR(AM160="移管",AN160="移管"),"移管",IF(OR(AM160="一部",AN160="一部"),"一部",IF(OR(AM160="判定保留",AN160="判定保留"),"判定保留",IF(OR(AM160="留保",AN160="留保"),"留保","対象外")))))</f>
        <v/>
      </c>
      <c r="AM160" s="22">
        <f>IF($A160="","",IF(AU160=0,"対象外",IF(AV160=AU160,"移管",IF(AV160+AW160&gt;0,"一部",IF(AX160&gt;0,"判定保留",IF(AY160&gt;0,"留保","対象外"))))))</f>
        <v/>
      </c>
      <c r="AN160" s="22">
        <f>IF($A160="","",IF((AO160+AS160+AT160)=0,"対象外",IF(AP160=(AO160+AS160+AT160),"移管",IF(AP160&gt;0,"一部",IF(AR160+AT160&gt;0,"判定保留",IF(AQ160+AS160&gt;0,"留保","対象外"))))))</f>
        <v/>
      </c>
      <c r="AO160" s="22">
        <f>IF($A160="","",SUMPRODUCT((COUNTIFS('紐付け'!$A$4:$A$200,$A160,'紐付け'!$C$4:$C$200,'業務'!$C$4:$C$200)&gt;0)*('業務'!$A$4:$A$200&lt;&gt;"")))</f>
        <v/>
      </c>
      <c r="AP160" s="22">
        <f>IF($A160="","",SUMPRODUCT((COUNTIFS('紐付け'!$A$4:$A$200,$A160,'紐付け'!$C$4:$C$200,'業務'!$C$4:$C$200)&gt;0)*('業務'!$A$4:$A$200&lt;&gt;"")*('業務'!$P$4:$P$200="移管")))</f>
        <v/>
      </c>
      <c r="AQ160" s="22">
        <f>IF($A160="","",SUMPRODUCT((COUNTIFS('紐付け'!$A$4:$A$200,$A160,'紐付け'!$C$4:$C$200,'業務'!$C$4:$C$200)&gt;0)*('業務'!$A$4:$A$200&lt;&gt;"")*('業務'!$P$4:$P$200="留保")))</f>
        <v/>
      </c>
      <c r="AR160" s="22">
        <f>IF($A160="","",AO160-AP160-AQ160)</f>
        <v/>
      </c>
      <c r="AS160" s="22">
        <f>IF($A160="","",SUMPRODUCT(('紐付け'!$A$4:$A$200=$A160)*('紐付け'!$C$4:$C$200&lt;&gt;"")*(COUNTIF('業務'!$C$4:$C$200,'紐付け'!$C$4:$C$200)=0)*(COUNTIFS('システム'!$A$4:$A$200,'紐付け'!$C$4:$C$200,'システム'!$N$4:$N$200,"留保")&gt;0)))</f>
        <v/>
      </c>
      <c r="AT160" s="22">
        <f>IF($A160="","",SUMPRODUCT(('紐付け'!$A$4:$A$200=$A160)*('紐付け'!$C$4:$C$200&lt;&gt;"")*(COUNTIF('業務'!$C$4:$C$200,'紐付け'!$C$4:$C$200)=0))-AS160)</f>
        <v/>
      </c>
      <c r="AU160" s="22">
        <f>IF($A160="","",COUNTIF('契約'!$C$4:$C$200,$A160))</f>
        <v/>
      </c>
      <c r="AV160" s="22">
        <f>IF($A160="","",COUNTIFS('契約'!$C$4:$C$200,$A160,'契約'!$O$4:$O$200,"移管"))</f>
        <v/>
      </c>
      <c r="AW160" s="22">
        <f>IF($A160="","",COUNTIFS('契約'!$C$4:$C$200,$A160,'契約'!$O$4:$O$200,"一部"))</f>
        <v/>
      </c>
      <c r="AX160" s="22">
        <f>IF($A160="","",COUNTIFS('契約'!$C$4:$C$200,$A160,'契約'!$O$4:$O$200,"判定保留"))</f>
        <v/>
      </c>
      <c r="AY160" s="22">
        <f>IF($A160="","",COUNTIFS('契約'!$C$4:$C$200,$A160,'契約'!$O$4:$O$200,"留保"))</f>
        <v/>
      </c>
    </row>
    <row r="161">
      <c r="A161" s="17" t="n"/>
      <c r="B161" s="17" t="n"/>
      <c r="C161" s="17" t="n"/>
      <c r="D161" s="17" t="n"/>
      <c r="E161" s="17" t="n"/>
      <c r="F161" s="17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9">
        <f>IF(COUNT(G161:R161)=0,"",SUM(G161:R161))</f>
        <v/>
      </c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9">
        <f>IF(COUNT(T161:AE161)=0,"",SUM(T161:AE161))</f>
        <v/>
      </c>
      <c r="AG161" s="17" t="n"/>
      <c r="AH161" s="17" t="n"/>
      <c r="AI161" s="17" t="n"/>
      <c r="AJ161" s="17" t="n"/>
      <c r="AK161" s="17" t="n"/>
      <c r="AL161" s="22">
        <f>IF($A161="","",IF(OR(AM161="移管",AN161="移管"),"移管",IF(OR(AM161="一部",AN161="一部"),"一部",IF(OR(AM161="判定保留",AN161="判定保留"),"判定保留",IF(OR(AM161="留保",AN161="留保"),"留保","対象外")))))</f>
        <v/>
      </c>
      <c r="AM161" s="22">
        <f>IF($A161="","",IF(AU161=0,"対象外",IF(AV161=AU161,"移管",IF(AV161+AW161&gt;0,"一部",IF(AX161&gt;0,"判定保留",IF(AY161&gt;0,"留保","対象外"))))))</f>
        <v/>
      </c>
      <c r="AN161" s="22">
        <f>IF($A161="","",IF((AO161+AS161+AT161)=0,"対象外",IF(AP161=(AO161+AS161+AT161),"移管",IF(AP161&gt;0,"一部",IF(AR161+AT161&gt;0,"判定保留",IF(AQ161+AS161&gt;0,"留保","対象外"))))))</f>
        <v/>
      </c>
      <c r="AO161" s="22">
        <f>IF($A161="","",SUMPRODUCT((COUNTIFS('紐付け'!$A$4:$A$200,$A161,'紐付け'!$C$4:$C$200,'業務'!$C$4:$C$200)&gt;0)*('業務'!$A$4:$A$200&lt;&gt;"")))</f>
        <v/>
      </c>
      <c r="AP161" s="22">
        <f>IF($A161="","",SUMPRODUCT((COUNTIFS('紐付け'!$A$4:$A$200,$A161,'紐付け'!$C$4:$C$200,'業務'!$C$4:$C$200)&gt;0)*('業務'!$A$4:$A$200&lt;&gt;"")*('業務'!$P$4:$P$200="移管")))</f>
        <v/>
      </c>
      <c r="AQ161" s="22">
        <f>IF($A161="","",SUMPRODUCT((COUNTIFS('紐付け'!$A$4:$A$200,$A161,'紐付け'!$C$4:$C$200,'業務'!$C$4:$C$200)&gt;0)*('業務'!$A$4:$A$200&lt;&gt;"")*('業務'!$P$4:$P$200="留保")))</f>
        <v/>
      </c>
      <c r="AR161" s="22">
        <f>IF($A161="","",AO161-AP161-AQ161)</f>
        <v/>
      </c>
      <c r="AS161" s="22">
        <f>IF($A161="","",SUMPRODUCT(('紐付け'!$A$4:$A$200=$A161)*('紐付け'!$C$4:$C$200&lt;&gt;"")*(COUNTIF('業務'!$C$4:$C$200,'紐付け'!$C$4:$C$200)=0)*(COUNTIFS('システム'!$A$4:$A$200,'紐付け'!$C$4:$C$200,'システム'!$N$4:$N$200,"留保")&gt;0)))</f>
        <v/>
      </c>
      <c r="AT161" s="22">
        <f>IF($A161="","",SUMPRODUCT(('紐付け'!$A$4:$A$200=$A161)*('紐付け'!$C$4:$C$200&lt;&gt;"")*(COUNTIF('業務'!$C$4:$C$200,'紐付け'!$C$4:$C$200)=0))-AS161)</f>
        <v/>
      </c>
      <c r="AU161" s="22">
        <f>IF($A161="","",COUNTIF('契約'!$C$4:$C$200,$A161))</f>
        <v/>
      </c>
      <c r="AV161" s="22">
        <f>IF($A161="","",COUNTIFS('契約'!$C$4:$C$200,$A161,'契約'!$O$4:$O$200,"移管"))</f>
        <v/>
      </c>
      <c r="AW161" s="22">
        <f>IF($A161="","",COUNTIFS('契約'!$C$4:$C$200,$A161,'契約'!$O$4:$O$200,"一部"))</f>
        <v/>
      </c>
      <c r="AX161" s="22">
        <f>IF($A161="","",COUNTIFS('契約'!$C$4:$C$200,$A161,'契約'!$O$4:$O$200,"判定保留"))</f>
        <v/>
      </c>
      <c r="AY161" s="22">
        <f>IF($A161="","",COUNTIFS('契約'!$C$4:$C$200,$A161,'契約'!$O$4:$O$200,"留保"))</f>
        <v/>
      </c>
    </row>
    <row r="162">
      <c r="A162" s="17" t="n"/>
      <c r="B162" s="17" t="n"/>
      <c r="C162" s="17" t="n"/>
      <c r="D162" s="17" t="n"/>
      <c r="E162" s="17" t="n"/>
      <c r="F162" s="17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9">
        <f>IF(COUNT(G162:R162)=0,"",SUM(G162:R162))</f>
        <v/>
      </c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9">
        <f>IF(COUNT(T162:AE162)=0,"",SUM(T162:AE162))</f>
        <v/>
      </c>
      <c r="AG162" s="17" t="n"/>
      <c r="AH162" s="17" t="n"/>
      <c r="AI162" s="17" t="n"/>
      <c r="AJ162" s="17" t="n"/>
      <c r="AK162" s="17" t="n"/>
      <c r="AL162" s="22">
        <f>IF($A162="","",IF(OR(AM162="移管",AN162="移管"),"移管",IF(OR(AM162="一部",AN162="一部"),"一部",IF(OR(AM162="判定保留",AN162="判定保留"),"判定保留",IF(OR(AM162="留保",AN162="留保"),"留保","対象外")))))</f>
        <v/>
      </c>
      <c r="AM162" s="22">
        <f>IF($A162="","",IF(AU162=0,"対象外",IF(AV162=AU162,"移管",IF(AV162+AW162&gt;0,"一部",IF(AX162&gt;0,"判定保留",IF(AY162&gt;0,"留保","対象外"))))))</f>
        <v/>
      </c>
      <c r="AN162" s="22">
        <f>IF($A162="","",IF((AO162+AS162+AT162)=0,"対象外",IF(AP162=(AO162+AS162+AT162),"移管",IF(AP162&gt;0,"一部",IF(AR162+AT162&gt;0,"判定保留",IF(AQ162+AS162&gt;0,"留保","対象外"))))))</f>
        <v/>
      </c>
      <c r="AO162" s="22">
        <f>IF($A162="","",SUMPRODUCT((COUNTIFS('紐付け'!$A$4:$A$200,$A162,'紐付け'!$C$4:$C$200,'業務'!$C$4:$C$200)&gt;0)*('業務'!$A$4:$A$200&lt;&gt;"")))</f>
        <v/>
      </c>
      <c r="AP162" s="22">
        <f>IF($A162="","",SUMPRODUCT((COUNTIFS('紐付け'!$A$4:$A$200,$A162,'紐付け'!$C$4:$C$200,'業務'!$C$4:$C$200)&gt;0)*('業務'!$A$4:$A$200&lt;&gt;"")*('業務'!$P$4:$P$200="移管")))</f>
        <v/>
      </c>
      <c r="AQ162" s="22">
        <f>IF($A162="","",SUMPRODUCT((COUNTIFS('紐付け'!$A$4:$A$200,$A162,'紐付け'!$C$4:$C$200,'業務'!$C$4:$C$200)&gt;0)*('業務'!$A$4:$A$200&lt;&gt;"")*('業務'!$P$4:$P$200="留保")))</f>
        <v/>
      </c>
      <c r="AR162" s="22">
        <f>IF($A162="","",AO162-AP162-AQ162)</f>
        <v/>
      </c>
      <c r="AS162" s="22">
        <f>IF($A162="","",SUMPRODUCT(('紐付け'!$A$4:$A$200=$A162)*('紐付け'!$C$4:$C$200&lt;&gt;"")*(COUNTIF('業務'!$C$4:$C$200,'紐付け'!$C$4:$C$200)=0)*(COUNTIFS('システム'!$A$4:$A$200,'紐付け'!$C$4:$C$200,'システム'!$N$4:$N$200,"留保")&gt;0)))</f>
        <v/>
      </c>
      <c r="AT162" s="22">
        <f>IF($A162="","",SUMPRODUCT(('紐付け'!$A$4:$A$200=$A162)*('紐付け'!$C$4:$C$200&lt;&gt;"")*(COUNTIF('業務'!$C$4:$C$200,'紐付け'!$C$4:$C$200)=0))-AS162)</f>
        <v/>
      </c>
      <c r="AU162" s="22">
        <f>IF($A162="","",COUNTIF('契約'!$C$4:$C$200,$A162))</f>
        <v/>
      </c>
      <c r="AV162" s="22">
        <f>IF($A162="","",COUNTIFS('契約'!$C$4:$C$200,$A162,'契約'!$O$4:$O$200,"移管"))</f>
        <v/>
      </c>
      <c r="AW162" s="22">
        <f>IF($A162="","",COUNTIFS('契約'!$C$4:$C$200,$A162,'契約'!$O$4:$O$200,"一部"))</f>
        <v/>
      </c>
      <c r="AX162" s="22">
        <f>IF($A162="","",COUNTIFS('契約'!$C$4:$C$200,$A162,'契約'!$O$4:$O$200,"判定保留"))</f>
        <v/>
      </c>
      <c r="AY162" s="22">
        <f>IF($A162="","",COUNTIFS('契約'!$C$4:$C$200,$A162,'契約'!$O$4:$O$200,"留保"))</f>
        <v/>
      </c>
    </row>
    <row r="163">
      <c r="A163" s="17" t="n"/>
      <c r="B163" s="17" t="n"/>
      <c r="C163" s="17" t="n"/>
      <c r="D163" s="17" t="n"/>
      <c r="E163" s="17" t="n"/>
      <c r="F163" s="17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9">
        <f>IF(COUNT(G163:R163)=0,"",SUM(G163:R163))</f>
        <v/>
      </c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9">
        <f>IF(COUNT(T163:AE163)=0,"",SUM(T163:AE163))</f>
        <v/>
      </c>
      <c r="AG163" s="17" t="n"/>
      <c r="AH163" s="17" t="n"/>
      <c r="AI163" s="17" t="n"/>
      <c r="AJ163" s="17" t="n"/>
      <c r="AK163" s="17" t="n"/>
      <c r="AL163" s="22">
        <f>IF($A163="","",IF(OR(AM163="移管",AN163="移管"),"移管",IF(OR(AM163="一部",AN163="一部"),"一部",IF(OR(AM163="判定保留",AN163="判定保留"),"判定保留",IF(OR(AM163="留保",AN163="留保"),"留保","対象外")))))</f>
        <v/>
      </c>
      <c r="AM163" s="22">
        <f>IF($A163="","",IF(AU163=0,"対象外",IF(AV163=AU163,"移管",IF(AV163+AW163&gt;0,"一部",IF(AX163&gt;0,"判定保留",IF(AY163&gt;0,"留保","対象外"))))))</f>
        <v/>
      </c>
      <c r="AN163" s="22">
        <f>IF($A163="","",IF((AO163+AS163+AT163)=0,"対象外",IF(AP163=(AO163+AS163+AT163),"移管",IF(AP163&gt;0,"一部",IF(AR163+AT163&gt;0,"判定保留",IF(AQ163+AS163&gt;0,"留保","対象外"))))))</f>
        <v/>
      </c>
      <c r="AO163" s="22">
        <f>IF($A163="","",SUMPRODUCT((COUNTIFS('紐付け'!$A$4:$A$200,$A163,'紐付け'!$C$4:$C$200,'業務'!$C$4:$C$200)&gt;0)*('業務'!$A$4:$A$200&lt;&gt;"")))</f>
        <v/>
      </c>
      <c r="AP163" s="22">
        <f>IF($A163="","",SUMPRODUCT((COUNTIFS('紐付け'!$A$4:$A$200,$A163,'紐付け'!$C$4:$C$200,'業務'!$C$4:$C$200)&gt;0)*('業務'!$A$4:$A$200&lt;&gt;"")*('業務'!$P$4:$P$200="移管")))</f>
        <v/>
      </c>
      <c r="AQ163" s="22">
        <f>IF($A163="","",SUMPRODUCT((COUNTIFS('紐付け'!$A$4:$A$200,$A163,'紐付け'!$C$4:$C$200,'業務'!$C$4:$C$200)&gt;0)*('業務'!$A$4:$A$200&lt;&gt;"")*('業務'!$P$4:$P$200="留保")))</f>
        <v/>
      </c>
      <c r="AR163" s="22">
        <f>IF($A163="","",AO163-AP163-AQ163)</f>
        <v/>
      </c>
      <c r="AS163" s="22">
        <f>IF($A163="","",SUMPRODUCT(('紐付け'!$A$4:$A$200=$A163)*('紐付け'!$C$4:$C$200&lt;&gt;"")*(COUNTIF('業務'!$C$4:$C$200,'紐付け'!$C$4:$C$200)=0)*(COUNTIFS('システム'!$A$4:$A$200,'紐付け'!$C$4:$C$200,'システム'!$N$4:$N$200,"留保")&gt;0)))</f>
        <v/>
      </c>
      <c r="AT163" s="22">
        <f>IF($A163="","",SUMPRODUCT(('紐付け'!$A$4:$A$200=$A163)*('紐付け'!$C$4:$C$200&lt;&gt;"")*(COUNTIF('業務'!$C$4:$C$200,'紐付け'!$C$4:$C$200)=0))-AS163)</f>
        <v/>
      </c>
      <c r="AU163" s="22">
        <f>IF($A163="","",COUNTIF('契約'!$C$4:$C$200,$A163))</f>
        <v/>
      </c>
      <c r="AV163" s="22">
        <f>IF($A163="","",COUNTIFS('契約'!$C$4:$C$200,$A163,'契約'!$O$4:$O$200,"移管"))</f>
        <v/>
      </c>
      <c r="AW163" s="22">
        <f>IF($A163="","",COUNTIFS('契約'!$C$4:$C$200,$A163,'契約'!$O$4:$O$200,"一部"))</f>
        <v/>
      </c>
      <c r="AX163" s="22">
        <f>IF($A163="","",COUNTIFS('契約'!$C$4:$C$200,$A163,'契約'!$O$4:$O$200,"判定保留"))</f>
        <v/>
      </c>
      <c r="AY163" s="22">
        <f>IF($A163="","",COUNTIFS('契約'!$C$4:$C$200,$A163,'契約'!$O$4:$O$200,"留保"))</f>
        <v/>
      </c>
    </row>
    <row r="164">
      <c r="A164" s="17" t="n"/>
      <c r="B164" s="17" t="n"/>
      <c r="C164" s="17" t="n"/>
      <c r="D164" s="17" t="n"/>
      <c r="E164" s="17" t="n"/>
      <c r="F164" s="17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9">
        <f>IF(COUNT(G164:R164)=0,"",SUM(G164:R164))</f>
        <v/>
      </c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9">
        <f>IF(COUNT(T164:AE164)=0,"",SUM(T164:AE164))</f>
        <v/>
      </c>
      <c r="AG164" s="17" t="n"/>
      <c r="AH164" s="17" t="n"/>
      <c r="AI164" s="17" t="n"/>
      <c r="AJ164" s="17" t="n"/>
      <c r="AK164" s="17" t="n"/>
      <c r="AL164" s="22">
        <f>IF($A164="","",IF(OR(AM164="移管",AN164="移管"),"移管",IF(OR(AM164="一部",AN164="一部"),"一部",IF(OR(AM164="判定保留",AN164="判定保留"),"判定保留",IF(OR(AM164="留保",AN164="留保"),"留保","対象外")))))</f>
        <v/>
      </c>
      <c r="AM164" s="22">
        <f>IF($A164="","",IF(AU164=0,"対象外",IF(AV164=AU164,"移管",IF(AV164+AW164&gt;0,"一部",IF(AX164&gt;0,"判定保留",IF(AY164&gt;0,"留保","対象外"))))))</f>
        <v/>
      </c>
      <c r="AN164" s="22">
        <f>IF($A164="","",IF((AO164+AS164+AT164)=0,"対象外",IF(AP164=(AO164+AS164+AT164),"移管",IF(AP164&gt;0,"一部",IF(AR164+AT164&gt;0,"判定保留",IF(AQ164+AS164&gt;0,"留保","対象外"))))))</f>
        <v/>
      </c>
      <c r="AO164" s="22">
        <f>IF($A164="","",SUMPRODUCT((COUNTIFS('紐付け'!$A$4:$A$200,$A164,'紐付け'!$C$4:$C$200,'業務'!$C$4:$C$200)&gt;0)*('業務'!$A$4:$A$200&lt;&gt;"")))</f>
        <v/>
      </c>
      <c r="AP164" s="22">
        <f>IF($A164="","",SUMPRODUCT((COUNTIFS('紐付け'!$A$4:$A$200,$A164,'紐付け'!$C$4:$C$200,'業務'!$C$4:$C$200)&gt;0)*('業務'!$A$4:$A$200&lt;&gt;"")*('業務'!$P$4:$P$200="移管")))</f>
        <v/>
      </c>
      <c r="AQ164" s="22">
        <f>IF($A164="","",SUMPRODUCT((COUNTIFS('紐付け'!$A$4:$A$200,$A164,'紐付け'!$C$4:$C$200,'業務'!$C$4:$C$200)&gt;0)*('業務'!$A$4:$A$200&lt;&gt;"")*('業務'!$P$4:$P$200="留保")))</f>
        <v/>
      </c>
      <c r="AR164" s="22">
        <f>IF($A164="","",AO164-AP164-AQ164)</f>
        <v/>
      </c>
      <c r="AS164" s="22">
        <f>IF($A164="","",SUMPRODUCT(('紐付け'!$A$4:$A$200=$A164)*('紐付け'!$C$4:$C$200&lt;&gt;"")*(COUNTIF('業務'!$C$4:$C$200,'紐付け'!$C$4:$C$200)=0)*(COUNTIFS('システム'!$A$4:$A$200,'紐付け'!$C$4:$C$200,'システム'!$N$4:$N$200,"留保")&gt;0)))</f>
        <v/>
      </c>
      <c r="AT164" s="22">
        <f>IF($A164="","",SUMPRODUCT(('紐付け'!$A$4:$A$200=$A164)*('紐付け'!$C$4:$C$200&lt;&gt;"")*(COUNTIF('業務'!$C$4:$C$200,'紐付け'!$C$4:$C$200)=0))-AS164)</f>
        <v/>
      </c>
      <c r="AU164" s="22">
        <f>IF($A164="","",COUNTIF('契約'!$C$4:$C$200,$A164))</f>
        <v/>
      </c>
      <c r="AV164" s="22">
        <f>IF($A164="","",COUNTIFS('契約'!$C$4:$C$200,$A164,'契約'!$O$4:$O$200,"移管"))</f>
        <v/>
      </c>
      <c r="AW164" s="22">
        <f>IF($A164="","",COUNTIFS('契約'!$C$4:$C$200,$A164,'契約'!$O$4:$O$200,"一部"))</f>
        <v/>
      </c>
      <c r="AX164" s="22">
        <f>IF($A164="","",COUNTIFS('契約'!$C$4:$C$200,$A164,'契約'!$O$4:$O$200,"判定保留"))</f>
        <v/>
      </c>
      <c r="AY164" s="22">
        <f>IF($A164="","",COUNTIFS('契約'!$C$4:$C$200,$A164,'契約'!$O$4:$O$200,"留保"))</f>
        <v/>
      </c>
    </row>
    <row r="165">
      <c r="A165" s="17" t="n"/>
      <c r="B165" s="17" t="n"/>
      <c r="C165" s="17" t="n"/>
      <c r="D165" s="17" t="n"/>
      <c r="E165" s="17" t="n"/>
      <c r="F165" s="17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9">
        <f>IF(COUNT(G165:R165)=0,"",SUM(G165:R165))</f>
        <v/>
      </c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9">
        <f>IF(COUNT(T165:AE165)=0,"",SUM(T165:AE165))</f>
        <v/>
      </c>
      <c r="AG165" s="17" t="n"/>
      <c r="AH165" s="17" t="n"/>
      <c r="AI165" s="17" t="n"/>
      <c r="AJ165" s="17" t="n"/>
      <c r="AK165" s="17" t="n"/>
      <c r="AL165" s="22">
        <f>IF($A165="","",IF(OR(AM165="移管",AN165="移管"),"移管",IF(OR(AM165="一部",AN165="一部"),"一部",IF(OR(AM165="判定保留",AN165="判定保留"),"判定保留",IF(OR(AM165="留保",AN165="留保"),"留保","対象外")))))</f>
        <v/>
      </c>
      <c r="AM165" s="22">
        <f>IF($A165="","",IF(AU165=0,"対象外",IF(AV165=AU165,"移管",IF(AV165+AW165&gt;0,"一部",IF(AX165&gt;0,"判定保留",IF(AY165&gt;0,"留保","対象外"))))))</f>
        <v/>
      </c>
      <c r="AN165" s="22">
        <f>IF($A165="","",IF((AO165+AS165+AT165)=0,"対象外",IF(AP165=(AO165+AS165+AT165),"移管",IF(AP165&gt;0,"一部",IF(AR165+AT165&gt;0,"判定保留",IF(AQ165+AS165&gt;0,"留保","対象外"))))))</f>
        <v/>
      </c>
      <c r="AO165" s="22">
        <f>IF($A165="","",SUMPRODUCT((COUNTIFS('紐付け'!$A$4:$A$200,$A165,'紐付け'!$C$4:$C$200,'業務'!$C$4:$C$200)&gt;0)*('業務'!$A$4:$A$200&lt;&gt;"")))</f>
        <v/>
      </c>
      <c r="AP165" s="22">
        <f>IF($A165="","",SUMPRODUCT((COUNTIFS('紐付け'!$A$4:$A$200,$A165,'紐付け'!$C$4:$C$200,'業務'!$C$4:$C$200)&gt;0)*('業務'!$A$4:$A$200&lt;&gt;"")*('業務'!$P$4:$P$200="移管")))</f>
        <v/>
      </c>
      <c r="AQ165" s="22">
        <f>IF($A165="","",SUMPRODUCT((COUNTIFS('紐付け'!$A$4:$A$200,$A165,'紐付け'!$C$4:$C$200,'業務'!$C$4:$C$200)&gt;0)*('業務'!$A$4:$A$200&lt;&gt;"")*('業務'!$P$4:$P$200="留保")))</f>
        <v/>
      </c>
      <c r="AR165" s="22">
        <f>IF($A165="","",AO165-AP165-AQ165)</f>
        <v/>
      </c>
      <c r="AS165" s="22">
        <f>IF($A165="","",SUMPRODUCT(('紐付け'!$A$4:$A$200=$A165)*('紐付け'!$C$4:$C$200&lt;&gt;"")*(COUNTIF('業務'!$C$4:$C$200,'紐付け'!$C$4:$C$200)=0)*(COUNTIFS('システム'!$A$4:$A$200,'紐付け'!$C$4:$C$200,'システム'!$N$4:$N$200,"留保")&gt;0)))</f>
        <v/>
      </c>
      <c r="AT165" s="22">
        <f>IF($A165="","",SUMPRODUCT(('紐付け'!$A$4:$A$200=$A165)*('紐付け'!$C$4:$C$200&lt;&gt;"")*(COUNTIF('業務'!$C$4:$C$200,'紐付け'!$C$4:$C$200)=0))-AS165)</f>
        <v/>
      </c>
      <c r="AU165" s="22">
        <f>IF($A165="","",COUNTIF('契約'!$C$4:$C$200,$A165))</f>
        <v/>
      </c>
      <c r="AV165" s="22">
        <f>IF($A165="","",COUNTIFS('契約'!$C$4:$C$200,$A165,'契約'!$O$4:$O$200,"移管"))</f>
        <v/>
      </c>
      <c r="AW165" s="22">
        <f>IF($A165="","",COUNTIFS('契約'!$C$4:$C$200,$A165,'契約'!$O$4:$O$200,"一部"))</f>
        <v/>
      </c>
      <c r="AX165" s="22">
        <f>IF($A165="","",COUNTIFS('契約'!$C$4:$C$200,$A165,'契約'!$O$4:$O$200,"判定保留"))</f>
        <v/>
      </c>
      <c r="AY165" s="22">
        <f>IF($A165="","",COUNTIFS('契約'!$C$4:$C$200,$A165,'契約'!$O$4:$O$200,"留保"))</f>
        <v/>
      </c>
    </row>
    <row r="166">
      <c r="A166" s="17" t="n"/>
      <c r="B166" s="17" t="n"/>
      <c r="C166" s="17" t="n"/>
      <c r="D166" s="17" t="n"/>
      <c r="E166" s="17" t="n"/>
      <c r="F166" s="17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9">
        <f>IF(COUNT(G166:R166)=0,"",SUM(G166:R166))</f>
        <v/>
      </c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9">
        <f>IF(COUNT(T166:AE166)=0,"",SUM(T166:AE166))</f>
        <v/>
      </c>
      <c r="AG166" s="17" t="n"/>
      <c r="AH166" s="17" t="n"/>
      <c r="AI166" s="17" t="n"/>
      <c r="AJ166" s="17" t="n"/>
      <c r="AK166" s="17" t="n"/>
      <c r="AL166" s="22">
        <f>IF($A166="","",IF(OR(AM166="移管",AN166="移管"),"移管",IF(OR(AM166="一部",AN166="一部"),"一部",IF(OR(AM166="判定保留",AN166="判定保留"),"判定保留",IF(OR(AM166="留保",AN166="留保"),"留保","対象外")))))</f>
        <v/>
      </c>
      <c r="AM166" s="22">
        <f>IF($A166="","",IF(AU166=0,"対象外",IF(AV166=AU166,"移管",IF(AV166+AW166&gt;0,"一部",IF(AX166&gt;0,"判定保留",IF(AY166&gt;0,"留保","対象外"))))))</f>
        <v/>
      </c>
      <c r="AN166" s="22">
        <f>IF($A166="","",IF((AO166+AS166+AT166)=0,"対象外",IF(AP166=(AO166+AS166+AT166),"移管",IF(AP166&gt;0,"一部",IF(AR166+AT166&gt;0,"判定保留",IF(AQ166+AS166&gt;0,"留保","対象外"))))))</f>
        <v/>
      </c>
      <c r="AO166" s="22">
        <f>IF($A166="","",SUMPRODUCT((COUNTIFS('紐付け'!$A$4:$A$200,$A166,'紐付け'!$C$4:$C$200,'業務'!$C$4:$C$200)&gt;0)*('業務'!$A$4:$A$200&lt;&gt;"")))</f>
        <v/>
      </c>
      <c r="AP166" s="22">
        <f>IF($A166="","",SUMPRODUCT((COUNTIFS('紐付け'!$A$4:$A$200,$A166,'紐付け'!$C$4:$C$200,'業務'!$C$4:$C$200)&gt;0)*('業務'!$A$4:$A$200&lt;&gt;"")*('業務'!$P$4:$P$200="移管")))</f>
        <v/>
      </c>
      <c r="AQ166" s="22">
        <f>IF($A166="","",SUMPRODUCT((COUNTIFS('紐付け'!$A$4:$A$200,$A166,'紐付け'!$C$4:$C$200,'業務'!$C$4:$C$200)&gt;0)*('業務'!$A$4:$A$200&lt;&gt;"")*('業務'!$P$4:$P$200="留保")))</f>
        <v/>
      </c>
      <c r="AR166" s="22">
        <f>IF($A166="","",AO166-AP166-AQ166)</f>
        <v/>
      </c>
      <c r="AS166" s="22">
        <f>IF($A166="","",SUMPRODUCT(('紐付け'!$A$4:$A$200=$A166)*('紐付け'!$C$4:$C$200&lt;&gt;"")*(COUNTIF('業務'!$C$4:$C$200,'紐付け'!$C$4:$C$200)=0)*(COUNTIFS('システム'!$A$4:$A$200,'紐付け'!$C$4:$C$200,'システム'!$N$4:$N$200,"留保")&gt;0)))</f>
        <v/>
      </c>
      <c r="AT166" s="22">
        <f>IF($A166="","",SUMPRODUCT(('紐付け'!$A$4:$A$200=$A166)*('紐付け'!$C$4:$C$200&lt;&gt;"")*(COUNTIF('業務'!$C$4:$C$200,'紐付け'!$C$4:$C$200)=0))-AS166)</f>
        <v/>
      </c>
      <c r="AU166" s="22">
        <f>IF($A166="","",COUNTIF('契約'!$C$4:$C$200,$A166))</f>
        <v/>
      </c>
      <c r="AV166" s="22">
        <f>IF($A166="","",COUNTIFS('契約'!$C$4:$C$200,$A166,'契約'!$O$4:$O$200,"移管"))</f>
        <v/>
      </c>
      <c r="AW166" s="22">
        <f>IF($A166="","",COUNTIFS('契約'!$C$4:$C$200,$A166,'契約'!$O$4:$O$200,"一部"))</f>
        <v/>
      </c>
      <c r="AX166" s="22">
        <f>IF($A166="","",COUNTIFS('契約'!$C$4:$C$200,$A166,'契約'!$O$4:$O$200,"判定保留"))</f>
        <v/>
      </c>
      <c r="AY166" s="22">
        <f>IF($A166="","",COUNTIFS('契約'!$C$4:$C$200,$A166,'契約'!$O$4:$O$200,"留保"))</f>
        <v/>
      </c>
    </row>
    <row r="167">
      <c r="A167" s="17" t="n"/>
      <c r="B167" s="17" t="n"/>
      <c r="C167" s="17" t="n"/>
      <c r="D167" s="17" t="n"/>
      <c r="E167" s="17" t="n"/>
      <c r="F167" s="17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9">
        <f>IF(COUNT(G167:R167)=0,"",SUM(G167:R167))</f>
        <v/>
      </c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9">
        <f>IF(COUNT(T167:AE167)=0,"",SUM(T167:AE167))</f>
        <v/>
      </c>
      <c r="AG167" s="17" t="n"/>
      <c r="AH167" s="17" t="n"/>
      <c r="AI167" s="17" t="n"/>
      <c r="AJ167" s="17" t="n"/>
      <c r="AK167" s="17" t="n"/>
      <c r="AL167" s="22">
        <f>IF($A167="","",IF(OR(AM167="移管",AN167="移管"),"移管",IF(OR(AM167="一部",AN167="一部"),"一部",IF(OR(AM167="判定保留",AN167="判定保留"),"判定保留",IF(OR(AM167="留保",AN167="留保"),"留保","対象外")))))</f>
        <v/>
      </c>
      <c r="AM167" s="22">
        <f>IF($A167="","",IF(AU167=0,"対象外",IF(AV167=AU167,"移管",IF(AV167+AW167&gt;0,"一部",IF(AX167&gt;0,"判定保留",IF(AY167&gt;0,"留保","対象外"))))))</f>
        <v/>
      </c>
      <c r="AN167" s="22">
        <f>IF($A167="","",IF((AO167+AS167+AT167)=0,"対象外",IF(AP167=(AO167+AS167+AT167),"移管",IF(AP167&gt;0,"一部",IF(AR167+AT167&gt;0,"判定保留",IF(AQ167+AS167&gt;0,"留保","対象外"))))))</f>
        <v/>
      </c>
      <c r="AO167" s="22">
        <f>IF($A167="","",SUMPRODUCT((COUNTIFS('紐付け'!$A$4:$A$200,$A167,'紐付け'!$C$4:$C$200,'業務'!$C$4:$C$200)&gt;0)*('業務'!$A$4:$A$200&lt;&gt;"")))</f>
        <v/>
      </c>
      <c r="AP167" s="22">
        <f>IF($A167="","",SUMPRODUCT((COUNTIFS('紐付け'!$A$4:$A$200,$A167,'紐付け'!$C$4:$C$200,'業務'!$C$4:$C$200)&gt;0)*('業務'!$A$4:$A$200&lt;&gt;"")*('業務'!$P$4:$P$200="移管")))</f>
        <v/>
      </c>
      <c r="AQ167" s="22">
        <f>IF($A167="","",SUMPRODUCT((COUNTIFS('紐付け'!$A$4:$A$200,$A167,'紐付け'!$C$4:$C$200,'業務'!$C$4:$C$200)&gt;0)*('業務'!$A$4:$A$200&lt;&gt;"")*('業務'!$P$4:$P$200="留保")))</f>
        <v/>
      </c>
      <c r="AR167" s="22">
        <f>IF($A167="","",AO167-AP167-AQ167)</f>
        <v/>
      </c>
      <c r="AS167" s="22">
        <f>IF($A167="","",SUMPRODUCT(('紐付け'!$A$4:$A$200=$A167)*('紐付け'!$C$4:$C$200&lt;&gt;"")*(COUNTIF('業務'!$C$4:$C$200,'紐付け'!$C$4:$C$200)=0)*(COUNTIFS('システム'!$A$4:$A$200,'紐付け'!$C$4:$C$200,'システム'!$N$4:$N$200,"留保")&gt;0)))</f>
        <v/>
      </c>
      <c r="AT167" s="22">
        <f>IF($A167="","",SUMPRODUCT(('紐付け'!$A$4:$A$200=$A167)*('紐付け'!$C$4:$C$200&lt;&gt;"")*(COUNTIF('業務'!$C$4:$C$200,'紐付け'!$C$4:$C$200)=0))-AS167)</f>
        <v/>
      </c>
      <c r="AU167" s="22">
        <f>IF($A167="","",COUNTIF('契約'!$C$4:$C$200,$A167))</f>
        <v/>
      </c>
      <c r="AV167" s="22">
        <f>IF($A167="","",COUNTIFS('契約'!$C$4:$C$200,$A167,'契約'!$O$4:$O$200,"移管"))</f>
        <v/>
      </c>
      <c r="AW167" s="22">
        <f>IF($A167="","",COUNTIFS('契約'!$C$4:$C$200,$A167,'契約'!$O$4:$O$200,"一部"))</f>
        <v/>
      </c>
      <c r="AX167" s="22">
        <f>IF($A167="","",COUNTIFS('契約'!$C$4:$C$200,$A167,'契約'!$O$4:$O$200,"判定保留"))</f>
        <v/>
      </c>
      <c r="AY167" s="22">
        <f>IF($A167="","",COUNTIFS('契約'!$C$4:$C$200,$A167,'契約'!$O$4:$O$200,"留保"))</f>
        <v/>
      </c>
    </row>
    <row r="168">
      <c r="A168" s="17" t="n"/>
      <c r="B168" s="17" t="n"/>
      <c r="C168" s="17" t="n"/>
      <c r="D168" s="17" t="n"/>
      <c r="E168" s="17" t="n"/>
      <c r="F168" s="17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9">
        <f>IF(COUNT(G168:R168)=0,"",SUM(G168:R168))</f>
        <v/>
      </c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9">
        <f>IF(COUNT(T168:AE168)=0,"",SUM(T168:AE168))</f>
        <v/>
      </c>
      <c r="AG168" s="17" t="n"/>
      <c r="AH168" s="17" t="n"/>
      <c r="AI168" s="17" t="n"/>
      <c r="AJ168" s="17" t="n"/>
      <c r="AK168" s="17" t="n"/>
      <c r="AL168" s="22">
        <f>IF($A168="","",IF(OR(AM168="移管",AN168="移管"),"移管",IF(OR(AM168="一部",AN168="一部"),"一部",IF(OR(AM168="判定保留",AN168="判定保留"),"判定保留",IF(OR(AM168="留保",AN168="留保"),"留保","対象外")))))</f>
        <v/>
      </c>
      <c r="AM168" s="22">
        <f>IF($A168="","",IF(AU168=0,"対象外",IF(AV168=AU168,"移管",IF(AV168+AW168&gt;0,"一部",IF(AX168&gt;0,"判定保留",IF(AY168&gt;0,"留保","対象外"))))))</f>
        <v/>
      </c>
      <c r="AN168" s="22">
        <f>IF($A168="","",IF((AO168+AS168+AT168)=0,"対象外",IF(AP168=(AO168+AS168+AT168),"移管",IF(AP168&gt;0,"一部",IF(AR168+AT168&gt;0,"判定保留",IF(AQ168+AS168&gt;0,"留保","対象外"))))))</f>
        <v/>
      </c>
      <c r="AO168" s="22">
        <f>IF($A168="","",SUMPRODUCT((COUNTIFS('紐付け'!$A$4:$A$200,$A168,'紐付け'!$C$4:$C$200,'業務'!$C$4:$C$200)&gt;0)*('業務'!$A$4:$A$200&lt;&gt;"")))</f>
        <v/>
      </c>
      <c r="AP168" s="22">
        <f>IF($A168="","",SUMPRODUCT((COUNTIFS('紐付け'!$A$4:$A$200,$A168,'紐付け'!$C$4:$C$200,'業務'!$C$4:$C$200)&gt;0)*('業務'!$A$4:$A$200&lt;&gt;"")*('業務'!$P$4:$P$200="移管")))</f>
        <v/>
      </c>
      <c r="AQ168" s="22">
        <f>IF($A168="","",SUMPRODUCT((COUNTIFS('紐付け'!$A$4:$A$200,$A168,'紐付け'!$C$4:$C$200,'業務'!$C$4:$C$200)&gt;0)*('業務'!$A$4:$A$200&lt;&gt;"")*('業務'!$P$4:$P$200="留保")))</f>
        <v/>
      </c>
      <c r="AR168" s="22">
        <f>IF($A168="","",AO168-AP168-AQ168)</f>
        <v/>
      </c>
      <c r="AS168" s="22">
        <f>IF($A168="","",SUMPRODUCT(('紐付け'!$A$4:$A$200=$A168)*('紐付け'!$C$4:$C$200&lt;&gt;"")*(COUNTIF('業務'!$C$4:$C$200,'紐付け'!$C$4:$C$200)=0)*(COUNTIFS('システム'!$A$4:$A$200,'紐付け'!$C$4:$C$200,'システム'!$N$4:$N$200,"留保")&gt;0)))</f>
        <v/>
      </c>
      <c r="AT168" s="22">
        <f>IF($A168="","",SUMPRODUCT(('紐付け'!$A$4:$A$200=$A168)*('紐付け'!$C$4:$C$200&lt;&gt;"")*(COUNTIF('業務'!$C$4:$C$200,'紐付け'!$C$4:$C$200)=0))-AS168)</f>
        <v/>
      </c>
      <c r="AU168" s="22">
        <f>IF($A168="","",COUNTIF('契約'!$C$4:$C$200,$A168))</f>
        <v/>
      </c>
      <c r="AV168" s="22">
        <f>IF($A168="","",COUNTIFS('契約'!$C$4:$C$200,$A168,'契約'!$O$4:$O$200,"移管"))</f>
        <v/>
      </c>
      <c r="AW168" s="22">
        <f>IF($A168="","",COUNTIFS('契約'!$C$4:$C$200,$A168,'契約'!$O$4:$O$200,"一部"))</f>
        <v/>
      </c>
      <c r="AX168" s="22">
        <f>IF($A168="","",COUNTIFS('契約'!$C$4:$C$200,$A168,'契約'!$O$4:$O$200,"判定保留"))</f>
        <v/>
      </c>
      <c r="AY168" s="22">
        <f>IF($A168="","",COUNTIFS('契約'!$C$4:$C$200,$A168,'契約'!$O$4:$O$200,"留保"))</f>
        <v/>
      </c>
    </row>
    <row r="169">
      <c r="A169" s="17" t="n"/>
      <c r="B169" s="17" t="n"/>
      <c r="C169" s="17" t="n"/>
      <c r="D169" s="17" t="n"/>
      <c r="E169" s="17" t="n"/>
      <c r="F169" s="17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9">
        <f>IF(COUNT(G169:R169)=0,"",SUM(G169:R169))</f>
        <v/>
      </c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9">
        <f>IF(COUNT(T169:AE169)=0,"",SUM(T169:AE169))</f>
        <v/>
      </c>
      <c r="AG169" s="17" t="n"/>
      <c r="AH169" s="17" t="n"/>
      <c r="AI169" s="17" t="n"/>
      <c r="AJ169" s="17" t="n"/>
      <c r="AK169" s="17" t="n"/>
      <c r="AL169" s="22">
        <f>IF($A169="","",IF(OR(AM169="移管",AN169="移管"),"移管",IF(OR(AM169="一部",AN169="一部"),"一部",IF(OR(AM169="判定保留",AN169="判定保留"),"判定保留",IF(OR(AM169="留保",AN169="留保"),"留保","対象外")))))</f>
        <v/>
      </c>
      <c r="AM169" s="22">
        <f>IF($A169="","",IF(AU169=0,"対象外",IF(AV169=AU169,"移管",IF(AV169+AW169&gt;0,"一部",IF(AX169&gt;0,"判定保留",IF(AY169&gt;0,"留保","対象外"))))))</f>
        <v/>
      </c>
      <c r="AN169" s="22">
        <f>IF($A169="","",IF((AO169+AS169+AT169)=0,"対象外",IF(AP169=(AO169+AS169+AT169),"移管",IF(AP169&gt;0,"一部",IF(AR169+AT169&gt;0,"判定保留",IF(AQ169+AS169&gt;0,"留保","対象外"))))))</f>
        <v/>
      </c>
      <c r="AO169" s="22">
        <f>IF($A169="","",SUMPRODUCT((COUNTIFS('紐付け'!$A$4:$A$200,$A169,'紐付け'!$C$4:$C$200,'業務'!$C$4:$C$200)&gt;0)*('業務'!$A$4:$A$200&lt;&gt;"")))</f>
        <v/>
      </c>
      <c r="AP169" s="22">
        <f>IF($A169="","",SUMPRODUCT((COUNTIFS('紐付け'!$A$4:$A$200,$A169,'紐付け'!$C$4:$C$200,'業務'!$C$4:$C$200)&gt;0)*('業務'!$A$4:$A$200&lt;&gt;"")*('業務'!$P$4:$P$200="移管")))</f>
        <v/>
      </c>
      <c r="AQ169" s="22">
        <f>IF($A169="","",SUMPRODUCT((COUNTIFS('紐付け'!$A$4:$A$200,$A169,'紐付け'!$C$4:$C$200,'業務'!$C$4:$C$200)&gt;0)*('業務'!$A$4:$A$200&lt;&gt;"")*('業務'!$P$4:$P$200="留保")))</f>
        <v/>
      </c>
      <c r="AR169" s="22">
        <f>IF($A169="","",AO169-AP169-AQ169)</f>
        <v/>
      </c>
      <c r="AS169" s="22">
        <f>IF($A169="","",SUMPRODUCT(('紐付け'!$A$4:$A$200=$A169)*('紐付け'!$C$4:$C$200&lt;&gt;"")*(COUNTIF('業務'!$C$4:$C$200,'紐付け'!$C$4:$C$200)=0)*(COUNTIFS('システム'!$A$4:$A$200,'紐付け'!$C$4:$C$200,'システム'!$N$4:$N$200,"留保")&gt;0)))</f>
        <v/>
      </c>
      <c r="AT169" s="22">
        <f>IF($A169="","",SUMPRODUCT(('紐付け'!$A$4:$A$200=$A169)*('紐付け'!$C$4:$C$200&lt;&gt;"")*(COUNTIF('業務'!$C$4:$C$200,'紐付け'!$C$4:$C$200)=0))-AS169)</f>
        <v/>
      </c>
      <c r="AU169" s="22">
        <f>IF($A169="","",COUNTIF('契約'!$C$4:$C$200,$A169))</f>
        <v/>
      </c>
      <c r="AV169" s="22">
        <f>IF($A169="","",COUNTIFS('契約'!$C$4:$C$200,$A169,'契約'!$O$4:$O$200,"移管"))</f>
        <v/>
      </c>
      <c r="AW169" s="22">
        <f>IF($A169="","",COUNTIFS('契約'!$C$4:$C$200,$A169,'契約'!$O$4:$O$200,"一部"))</f>
        <v/>
      </c>
      <c r="AX169" s="22">
        <f>IF($A169="","",COUNTIFS('契約'!$C$4:$C$200,$A169,'契約'!$O$4:$O$200,"判定保留"))</f>
        <v/>
      </c>
      <c r="AY169" s="22">
        <f>IF($A169="","",COUNTIFS('契約'!$C$4:$C$200,$A169,'契約'!$O$4:$O$200,"留保"))</f>
        <v/>
      </c>
    </row>
    <row r="170">
      <c r="A170" s="17" t="n"/>
      <c r="B170" s="17" t="n"/>
      <c r="C170" s="17" t="n"/>
      <c r="D170" s="17" t="n"/>
      <c r="E170" s="17" t="n"/>
      <c r="F170" s="17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9">
        <f>IF(COUNT(G170:R170)=0,"",SUM(G170:R170))</f>
        <v/>
      </c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9">
        <f>IF(COUNT(T170:AE170)=0,"",SUM(T170:AE170))</f>
        <v/>
      </c>
      <c r="AG170" s="17" t="n"/>
      <c r="AH170" s="17" t="n"/>
      <c r="AI170" s="17" t="n"/>
      <c r="AJ170" s="17" t="n"/>
      <c r="AK170" s="17" t="n"/>
      <c r="AL170" s="22">
        <f>IF($A170="","",IF(OR(AM170="移管",AN170="移管"),"移管",IF(OR(AM170="一部",AN170="一部"),"一部",IF(OR(AM170="判定保留",AN170="判定保留"),"判定保留",IF(OR(AM170="留保",AN170="留保"),"留保","対象外")))))</f>
        <v/>
      </c>
      <c r="AM170" s="22">
        <f>IF($A170="","",IF(AU170=0,"対象外",IF(AV170=AU170,"移管",IF(AV170+AW170&gt;0,"一部",IF(AX170&gt;0,"判定保留",IF(AY170&gt;0,"留保","対象外"))))))</f>
        <v/>
      </c>
      <c r="AN170" s="22">
        <f>IF($A170="","",IF((AO170+AS170+AT170)=0,"対象外",IF(AP170=(AO170+AS170+AT170),"移管",IF(AP170&gt;0,"一部",IF(AR170+AT170&gt;0,"判定保留",IF(AQ170+AS170&gt;0,"留保","対象外"))))))</f>
        <v/>
      </c>
      <c r="AO170" s="22">
        <f>IF($A170="","",SUMPRODUCT((COUNTIFS('紐付け'!$A$4:$A$200,$A170,'紐付け'!$C$4:$C$200,'業務'!$C$4:$C$200)&gt;0)*('業務'!$A$4:$A$200&lt;&gt;"")))</f>
        <v/>
      </c>
      <c r="AP170" s="22">
        <f>IF($A170="","",SUMPRODUCT((COUNTIFS('紐付け'!$A$4:$A$200,$A170,'紐付け'!$C$4:$C$200,'業務'!$C$4:$C$200)&gt;0)*('業務'!$A$4:$A$200&lt;&gt;"")*('業務'!$P$4:$P$200="移管")))</f>
        <v/>
      </c>
      <c r="AQ170" s="22">
        <f>IF($A170="","",SUMPRODUCT((COUNTIFS('紐付け'!$A$4:$A$200,$A170,'紐付け'!$C$4:$C$200,'業務'!$C$4:$C$200)&gt;0)*('業務'!$A$4:$A$200&lt;&gt;"")*('業務'!$P$4:$P$200="留保")))</f>
        <v/>
      </c>
      <c r="AR170" s="22">
        <f>IF($A170="","",AO170-AP170-AQ170)</f>
        <v/>
      </c>
      <c r="AS170" s="22">
        <f>IF($A170="","",SUMPRODUCT(('紐付け'!$A$4:$A$200=$A170)*('紐付け'!$C$4:$C$200&lt;&gt;"")*(COUNTIF('業務'!$C$4:$C$200,'紐付け'!$C$4:$C$200)=0)*(COUNTIFS('システム'!$A$4:$A$200,'紐付け'!$C$4:$C$200,'システム'!$N$4:$N$200,"留保")&gt;0)))</f>
        <v/>
      </c>
      <c r="AT170" s="22">
        <f>IF($A170="","",SUMPRODUCT(('紐付け'!$A$4:$A$200=$A170)*('紐付け'!$C$4:$C$200&lt;&gt;"")*(COUNTIF('業務'!$C$4:$C$200,'紐付け'!$C$4:$C$200)=0))-AS170)</f>
        <v/>
      </c>
      <c r="AU170" s="22">
        <f>IF($A170="","",COUNTIF('契約'!$C$4:$C$200,$A170))</f>
        <v/>
      </c>
      <c r="AV170" s="22">
        <f>IF($A170="","",COUNTIFS('契約'!$C$4:$C$200,$A170,'契約'!$O$4:$O$200,"移管"))</f>
        <v/>
      </c>
      <c r="AW170" s="22">
        <f>IF($A170="","",COUNTIFS('契約'!$C$4:$C$200,$A170,'契約'!$O$4:$O$200,"一部"))</f>
        <v/>
      </c>
      <c r="AX170" s="22">
        <f>IF($A170="","",COUNTIFS('契約'!$C$4:$C$200,$A170,'契約'!$O$4:$O$200,"判定保留"))</f>
        <v/>
      </c>
      <c r="AY170" s="22">
        <f>IF($A170="","",COUNTIFS('契約'!$C$4:$C$200,$A170,'契約'!$O$4:$O$200,"留保"))</f>
        <v/>
      </c>
    </row>
    <row r="171">
      <c r="A171" s="17" t="n"/>
      <c r="B171" s="17" t="n"/>
      <c r="C171" s="17" t="n"/>
      <c r="D171" s="17" t="n"/>
      <c r="E171" s="17" t="n"/>
      <c r="F171" s="17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9">
        <f>IF(COUNT(G171:R171)=0,"",SUM(G171:R171))</f>
        <v/>
      </c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9">
        <f>IF(COUNT(T171:AE171)=0,"",SUM(T171:AE171))</f>
        <v/>
      </c>
      <c r="AG171" s="17" t="n"/>
      <c r="AH171" s="17" t="n"/>
      <c r="AI171" s="17" t="n"/>
      <c r="AJ171" s="17" t="n"/>
      <c r="AK171" s="17" t="n"/>
      <c r="AL171" s="22">
        <f>IF($A171="","",IF(OR(AM171="移管",AN171="移管"),"移管",IF(OR(AM171="一部",AN171="一部"),"一部",IF(OR(AM171="判定保留",AN171="判定保留"),"判定保留",IF(OR(AM171="留保",AN171="留保"),"留保","対象外")))))</f>
        <v/>
      </c>
      <c r="AM171" s="22">
        <f>IF($A171="","",IF(AU171=0,"対象外",IF(AV171=AU171,"移管",IF(AV171+AW171&gt;0,"一部",IF(AX171&gt;0,"判定保留",IF(AY171&gt;0,"留保","対象外"))))))</f>
        <v/>
      </c>
      <c r="AN171" s="22">
        <f>IF($A171="","",IF((AO171+AS171+AT171)=0,"対象外",IF(AP171=(AO171+AS171+AT171),"移管",IF(AP171&gt;0,"一部",IF(AR171+AT171&gt;0,"判定保留",IF(AQ171+AS171&gt;0,"留保","対象外"))))))</f>
        <v/>
      </c>
      <c r="AO171" s="22">
        <f>IF($A171="","",SUMPRODUCT((COUNTIFS('紐付け'!$A$4:$A$200,$A171,'紐付け'!$C$4:$C$200,'業務'!$C$4:$C$200)&gt;0)*('業務'!$A$4:$A$200&lt;&gt;"")))</f>
        <v/>
      </c>
      <c r="AP171" s="22">
        <f>IF($A171="","",SUMPRODUCT((COUNTIFS('紐付け'!$A$4:$A$200,$A171,'紐付け'!$C$4:$C$200,'業務'!$C$4:$C$200)&gt;0)*('業務'!$A$4:$A$200&lt;&gt;"")*('業務'!$P$4:$P$200="移管")))</f>
        <v/>
      </c>
      <c r="AQ171" s="22">
        <f>IF($A171="","",SUMPRODUCT((COUNTIFS('紐付け'!$A$4:$A$200,$A171,'紐付け'!$C$4:$C$200,'業務'!$C$4:$C$200)&gt;0)*('業務'!$A$4:$A$200&lt;&gt;"")*('業務'!$P$4:$P$200="留保")))</f>
        <v/>
      </c>
      <c r="AR171" s="22">
        <f>IF($A171="","",AO171-AP171-AQ171)</f>
        <v/>
      </c>
      <c r="AS171" s="22">
        <f>IF($A171="","",SUMPRODUCT(('紐付け'!$A$4:$A$200=$A171)*('紐付け'!$C$4:$C$200&lt;&gt;"")*(COUNTIF('業務'!$C$4:$C$200,'紐付け'!$C$4:$C$200)=0)*(COUNTIFS('システム'!$A$4:$A$200,'紐付け'!$C$4:$C$200,'システム'!$N$4:$N$200,"留保")&gt;0)))</f>
        <v/>
      </c>
      <c r="AT171" s="22">
        <f>IF($A171="","",SUMPRODUCT(('紐付け'!$A$4:$A$200=$A171)*('紐付け'!$C$4:$C$200&lt;&gt;"")*(COUNTIF('業務'!$C$4:$C$200,'紐付け'!$C$4:$C$200)=0))-AS171)</f>
        <v/>
      </c>
      <c r="AU171" s="22">
        <f>IF($A171="","",COUNTIF('契約'!$C$4:$C$200,$A171))</f>
        <v/>
      </c>
      <c r="AV171" s="22">
        <f>IF($A171="","",COUNTIFS('契約'!$C$4:$C$200,$A171,'契約'!$O$4:$O$200,"移管"))</f>
        <v/>
      </c>
      <c r="AW171" s="22">
        <f>IF($A171="","",COUNTIFS('契約'!$C$4:$C$200,$A171,'契約'!$O$4:$O$200,"一部"))</f>
        <v/>
      </c>
      <c r="AX171" s="22">
        <f>IF($A171="","",COUNTIFS('契約'!$C$4:$C$200,$A171,'契約'!$O$4:$O$200,"判定保留"))</f>
        <v/>
      </c>
      <c r="AY171" s="22">
        <f>IF($A171="","",COUNTIFS('契約'!$C$4:$C$200,$A171,'契約'!$O$4:$O$200,"留保"))</f>
        <v/>
      </c>
    </row>
    <row r="172">
      <c r="A172" s="17" t="n"/>
      <c r="B172" s="17" t="n"/>
      <c r="C172" s="17" t="n"/>
      <c r="D172" s="17" t="n"/>
      <c r="E172" s="17" t="n"/>
      <c r="F172" s="17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9">
        <f>IF(COUNT(G172:R172)=0,"",SUM(G172:R172))</f>
        <v/>
      </c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9">
        <f>IF(COUNT(T172:AE172)=0,"",SUM(T172:AE172))</f>
        <v/>
      </c>
      <c r="AG172" s="17" t="n"/>
      <c r="AH172" s="17" t="n"/>
      <c r="AI172" s="17" t="n"/>
      <c r="AJ172" s="17" t="n"/>
      <c r="AK172" s="17" t="n"/>
      <c r="AL172" s="22">
        <f>IF($A172="","",IF(OR(AM172="移管",AN172="移管"),"移管",IF(OR(AM172="一部",AN172="一部"),"一部",IF(OR(AM172="判定保留",AN172="判定保留"),"判定保留",IF(OR(AM172="留保",AN172="留保"),"留保","対象外")))))</f>
        <v/>
      </c>
      <c r="AM172" s="22">
        <f>IF($A172="","",IF(AU172=0,"対象外",IF(AV172=AU172,"移管",IF(AV172+AW172&gt;0,"一部",IF(AX172&gt;0,"判定保留",IF(AY172&gt;0,"留保","対象外"))))))</f>
        <v/>
      </c>
      <c r="AN172" s="22">
        <f>IF($A172="","",IF((AO172+AS172+AT172)=0,"対象外",IF(AP172=(AO172+AS172+AT172),"移管",IF(AP172&gt;0,"一部",IF(AR172+AT172&gt;0,"判定保留",IF(AQ172+AS172&gt;0,"留保","対象外"))))))</f>
        <v/>
      </c>
      <c r="AO172" s="22">
        <f>IF($A172="","",SUMPRODUCT((COUNTIFS('紐付け'!$A$4:$A$200,$A172,'紐付け'!$C$4:$C$200,'業務'!$C$4:$C$200)&gt;0)*('業務'!$A$4:$A$200&lt;&gt;"")))</f>
        <v/>
      </c>
      <c r="AP172" s="22">
        <f>IF($A172="","",SUMPRODUCT((COUNTIFS('紐付け'!$A$4:$A$200,$A172,'紐付け'!$C$4:$C$200,'業務'!$C$4:$C$200)&gt;0)*('業務'!$A$4:$A$200&lt;&gt;"")*('業務'!$P$4:$P$200="移管")))</f>
        <v/>
      </c>
      <c r="AQ172" s="22">
        <f>IF($A172="","",SUMPRODUCT((COUNTIFS('紐付け'!$A$4:$A$200,$A172,'紐付け'!$C$4:$C$200,'業務'!$C$4:$C$200)&gt;0)*('業務'!$A$4:$A$200&lt;&gt;"")*('業務'!$P$4:$P$200="留保")))</f>
        <v/>
      </c>
      <c r="AR172" s="22">
        <f>IF($A172="","",AO172-AP172-AQ172)</f>
        <v/>
      </c>
      <c r="AS172" s="22">
        <f>IF($A172="","",SUMPRODUCT(('紐付け'!$A$4:$A$200=$A172)*('紐付け'!$C$4:$C$200&lt;&gt;"")*(COUNTIF('業務'!$C$4:$C$200,'紐付け'!$C$4:$C$200)=0)*(COUNTIFS('システム'!$A$4:$A$200,'紐付け'!$C$4:$C$200,'システム'!$N$4:$N$200,"留保")&gt;0)))</f>
        <v/>
      </c>
      <c r="AT172" s="22">
        <f>IF($A172="","",SUMPRODUCT(('紐付け'!$A$4:$A$200=$A172)*('紐付け'!$C$4:$C$200&lt;&gt;"")*(COUNTIF('業務'!$C$4:$C$200,'紐付け'!$C$4:$C$200)=0))-AS172)</f>
        <v/>
      </c>
      <c r="AU172" s="22">
        <f>IF($A172="","",COUNTIF('契約'!$C$4:$C$200,$A172))</f>
        <v/>
      </c>
      <c r="AV172" s="22">
        <f>IF($A172="","",COUNTIFS('契約'!$C$4:$C$200,$A172,'契約'!$O$4:$O$200,"移管"))</f>
        <v/>
      </c>
      <c r="AW172" s="22">
        <f>IF($A172="","",COUNTIFS('契約'!$C$4:$C$200,$A172,'契約'!$O$4:$O$200,"一部"))</f>
        <v/>
      </c>
      <c r="AX172" s="22">
        <f>IF($A172="","",COUNTIFS('契約'!$C$4:$C$200,$A172,'契約'!$O$4:$O$200,"判定保留"))</f>
        <v/>
      </c>
      <c r="AY172" s="22">
        <f>IF($A172="","",COUNTIFS('契約'!$C$4:$C$200,$A172,'契約'!$O$4:$O$200,"留保"))</f>
        <v/>
      </c>
    </row>
    <row r="173">
      <c r="A173" s="17" t="n"/>
      <c r="B173" s="17" t="n"/>
      <c r="C173" s="17" t="n"/>
      <c r="D173" s="17" t="n"/>
      <c r="E173" s="17" t="n"/>
      <c r="F173" s="17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9">
        <f>IF(COUNT(G173:R173)=0,"",SUM(G173:R173))</f>
        <v/>
      </c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9">
        <f>IF(COUNT(T173:AE173)=0,"",SUM(T173:AE173))</f>
        <v/>
      </c>
      <c r="AG173" s="17" t="n"/>
      <c r="AH173" s="17" t="n"/>
      <c r="AI173" s="17" t="n"/>
      <c r="AJ173" s="17" t="n"/>
      <c r="AK173" s="17" t="n"/>
      <c r="AL173" s="22">
        <f>IF($A173="","",IF(OR(AM173="移管",AN173="移管"),"移管",IF(OR(AM173="一部",AN173="一部"),"一部",IF(OR(AM173="判定保留",AN173="判定保留"),"判定保留",IF(OR(AM173="留保",AN173="留保"),"留保","対象外")))))</f>
        <v/>
      </c>
      <c r="AM173" s="22">
        <f>IF($A173="","",IF(AU173=0,"対象外",IF(AV173=AU173,"移管",IF(AV173+AW173&gt;0,"一部",IF(AX173&gt;0,"判定保留",IF(AY173&gt;0,"留保","対象外"))))))</f>
        <v/>
      </c>
      <c r="AN173" s="22">
        <f>IF($A173="","",IF((AO173+AS173+AT173)=0,"対象外",IF(AP173=(AO173+AS173+AT173),"移管",IF(AP173&gt;0,"一部",IF(AR173+AT173&gt;0,"判定保留",IF(AQ173+AS173&gt;0,"留保","対象外"))))))</f>
        <v/>
      </c>
      <c r="AO173" s="22">
        <f>IF($A173="","",SUMPRODUCT((COUNTIFS('紐付け'!$A$4:$A$200,$A173,'紐付け'!$C$4:$C$200,'業務'!$C$4:$C$200)&gt;0)*('業務'!$A$4:$A$200&lt;&gt;"")))</f>
        <v/>
      </c>
      <c r="AP173" s="22">
        <f>IF($A173="","",SUMPRODUCT((COUNTIFS('紐付け'!$A$4:$A$200,$A173,'紐付け'!$C$4:$C$200,'業務'!$C$4:$C$200)&gt;0)*('業務'!$A$4:$A$200&lt;&gt;"")*('業務'!$P$4:$P$200="移管")))</f>
        <v/>
      </c>
      <c r="AQ173" s="22">
        <f>IF($A173="","",SUMPRODUCT((COUNTIFS('紐付け'!$A$4:$A$200,$A173,'紐付け'!$C$4:$C$200,'業務'!$C$4:$C$200)&gt;0)*('業務'!$A$4:$A$200&lt;&gt;"")*('業務'!$P$4:$P$200="留保")))</f>
        <v/>
      </c>
      <c r="AR173" s="22">
        <f>IF($A173="","",AO173-AP173-AQ173)</f>
        <v/>
      </c>
      <c r="AS173" s="22">
        <f>IF($A173="","",SUMPRODUCT(('紐付け'!$A$4:$A$200=$A173)*('紐付け'!$C$4:$C$200&lt;&gt;"")*(COUNTIF('業務'!$C$4:$C$200,'紐付け'!$C$4:$C$200)=0)*(COUNTIFS('システム'!$A$4:$A$200,'紐付け'!$C$4:$C$200,'システム'!$N$4:$N$200,"留保")&gt;0)))</f>
        <v/>
      </c>
      <c r="AT173" s="22">
        <f>IF($A173="","",SUMPRODUCT(('紐付け'!$A$4:$A$200=$A173)*('紐付け'!$C$4:$C$200&lt;&gt;"")*(COUNTIF('業務'!$C$4:$C$200,'紐付け'!$C$4:$C$200)=0))-AS173)</f>
        <v/>
      </c>
      <c r="AU173" s="22">
        <f>IF($A173="","",COUNTIF('契約'!$C$4:$C$200,$A173))</f>
        <v/>
      </c>
      <c r="AV173" s="22">
        <f>IF($A173="","",COUNTIFS('契約'!$C$4:$C$200,$A173,'契約'!$O$4:$O$200,"移管"))</f>
        <v/>
      </c>
      <c r="AW173" s="22">
        <f>IF($A173="","",COUNTIFS('契約'!$C$4:$C$200,$A173,'契約'!$O$4:$O$200,"一部"))</f>
        <v/>
      </c>
      <c r="AX173" s="22">
        <f>IF($A173="","",COUNTIFS('契約'!$C$4:$C$200,$A173,'契約'!$O$4:$O$200,"判定保留"))</f>
        <v/>
      </c>
      <c r="AY173" s="22">
        <f>IF($A173="","",COUNTIFS('契約'!$C$4:$C$200,$A173,'契約'!$O$4:$O$200,"留保"))</f>
        <v/>
      </c>
    </row>
    <row r="174">
      <c r="A174" s="17" t="n"/>
      <c r="B174" s="17" t="n"/>
      <c r="C174" s="17" t="n"/>
      <c r="D174" s="17" t="n"/>
      <c r="E174" s="17" t="n"/>
      <c r="F174" s="17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9">
        <f>IF(COUNT(G174:R174)=0,"",SUM(G174:R174))</f>
        <v/>
      </c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9">
        <f>IF(COUNT(T174:AE174)=0,"",SUM(T174:AE174))</f>
        <v/>
      </c>
      <c r="AG174" s="17" t="n"/>
      <c r="AH174" s="17" t="n"/>
      <c r="AI174" s="17" t="n"/>
      <c r="AJ174" s="17" t="n"/>
      <c r="AK174" s="17" t="n"/>
      <c r="AL174" s="22">
        <f>IF($A174="","",IF(OR(AM174="移管",AN174="移管"),"移管",IF(OR(AM174="一部",AN174="一部"),"一部",IF(OR(AM174="判定保留",AN174="判定保留"),"判定保留",IF(OR(AM174="留保",AN174="留保"),"留保","対象外")))))</f>
        <v/>
      </c>
      <c r="AM174" s="22">
        <f>IF($A174="","",IF(AU174=0,"対象外",IF(AV174=AU174,"移管",IF(AV174+AW174&gt;0,"一部",IF(AX174&gt;0,"判定保留",IF(AY174&gt;0,"留保","対象外"))))))</f>
        <v/>
      </c>
      <c r="AN174" s="22">
        <f>IF($A174="","",IF((AO174+AS174+AT174)=0,"対象外",IF(AP174=(AO174+AS174+AT174),"移管",IF(AP174&gt;0,"一部",IF(AR174+AT174&gt;0,"判定保留",IF(AQ174+AS174&gt;0,"留保","対象外"))))))</f>
        <v/>
      </c>
      <c r="AO174" s="22">
        <f>IF($A174="","",SUMPRODUCT((COUNTIFS('紐付け'!$A$4:$A$200,$A174,'紐付け'!$C$4:$C$200,'業務'!$C$4:$C$200)&gt;0)*('業務'!$A$4:$A$200&lt;&gt;"")))</f>
        <v/>
      </c>
      <c r="AP174" s="22">
        <f>IF($A174="","",SUMPRODUCT((COUNTIFS('紐付け'!$A$4:$A$200,$A174,'紐付け'!$C$4:$C$200,'業務'!$C$4:$C$200)&gt;0)*('業務'!$A$4:$A$200&lt;&gt;"")*('業務'!$P$4:$P$200="移管")))</f>
        <v/>
      </c>
      <c r="AQ174" s="22">
        <f>IF($A174="","",SUMPRODUCT((COUNTIFS('紐付け'!$A$4:$A$200,$A174,'紐付け'!$C$4:$C$200,'業務'!$C$4:$C$200)&gt;0)*('業務'!$A$4:$A$200&lt;&gt;"")*('業務'!$P$4:$P$200="留保")))</f>
        <v/>
      </c>
      <c r="AR174" s="22">
        <f>IF($A174="","",AO174-AP174-AQ174)</f>
        <v/>
      </c>
      <c r="AS174" s="22">
        <f>IF($A174="","",SUMPRODUCT(('紐付け'!$A$4:$A$200=$A174)*('紐付け'!$C$4:$C$200&lt;&gt;"")*(COUNTIF('業務'!$C$4:$C$200,'紐付け'!$C$4:$C$200)=0)*(COUNTIFS('システム'!$A$4:$A$200,'紐付け'!$C$4:$C$200,'システム'!$N$4:$N$200,"留保")&gt;0)))</f>
        <v/>
      </c>
      <c r="AT174" s="22">
        <f>IF($A174="","",SUMPRODUCT(('紐付け'!$A$4:$A$200=$A174)*('紐付け'!$C$4:$C$200&lt;&gt;"")*(COUNTIF('業務'!$C$4:$C$200,'紐付け'!$C$4:$C$200)=0))-AS174)</f>
        <v/>
      </c>
      <c r="AU174" s="22">
        <f>IF($A174="","",COUNTIF('契約'!$C$4:$C$200,$A174))</f>
        <v/>
      </c>
      <c r="AV174" s="22">
        <f>IF($A174="","",COUNTIFS('契約'!$C$4:$C$200,$A174,'契約'!$O$4:$O$200,"移管"))</f>
        <v/>
      </c>
      <c r="AW174" s="22">
        <f>IF($A174="","",COUNTIFS('契約'!$C$4:$C$200,$A174,'契約'!$O$4:$O$200,"一部"))</f>
        <v/>
      </c>
      <c r="AX174" s="22">
        <f>IF($A174="","",COUNTIFS('契約'!$C$4:$C$200,$A174,'契約'!$O$4:$O$200,"判定保留"))</f>
        <v/>
      </c>
      <c r="AY174" s="22">
        <f>IF($A174="","",COUNTIFS('契約'!$C$4:$C$200,$A174,'契約'!$O$4:$O$200,"留保"))</f>
        <v/>
      </c>
    </row>
    <row r="175">
      <c r="A175" s="17" t="n"/>
      <c r="B175" s="17" t="n"/>
      <c r="C175" s="17" t="n"/>
      <c r="D175" s="17" t="n"/>
      <c r="E175" s="17" t="n"/>
      <c r="F175" s="17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9">
        <f>IF(COUNT(G175:R175)=0,"",SUM(G175:R175))</f>
        <v/>
      </c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9">
        <f>IF(COUNT(T175:AE175)=0,"",SUM(T175:AE175))</f>
        <v/>
      </c>
      <c r="AG175" s="17" t="n"/>
      <c r="AH175" s="17" t="n"/>
      <c r="AI175" s="17" t="n"/>
      <c r="AJ175" s="17" t="n"/>
      <c r="AK175" s="17" t="n"/>
      <c r="AL175" s="22">
        <f>IF($A175="","",IF(OR(AM175="移管",AN175="移管"),"移管",IF(OR(AM175="一部",AN175="一部"),"一部",IF(OR(AM175="判定保留",AN175="判定保留"),"判定保留",IF(OR(AM175="留保",AN175="留保"),"留保","対象外")))))</f>
        <v/>
      </c>
      <c r="AM175" s="22">
        <f>IF($A175="","",IF(AU175=0,"対象外",IF(AV175=AU175,"移管",IF(AV175+AW175&gt;0,"一部",IF(AX175&gt;0,"判定保留",IF(AY175&gt;0,"留保","対象外"))))))</f>
        <v/>
      </c>
      <c r="AN175" s="22">
        <f>IF($A175="","",IF((AO175+AS175+AT175)=0,"対象外",IF(AP175=(AO175+AS175+AT175),"移管",IF(AP175&gt;0,"一部",IF(AR175+AT175&gt;0,"判定保留",IF(AQ175+AS175&gt;0,"留保","対象外"))))))</f>
        <v/>
      </c>
      <c r="AO175" s="22">
        <f>IF($A175="","",SUMPRODUCT((COUNTIFS('紐付け'!$A$4:$A$200,$A175,'紐付け'!$C$4:$C$200,'業務'!$C$4:$C$200)&gt;0)*('業務'!$A$4:$A$200&lt;&gt;"")))</f>
        <v/>
      </c>
      <c r="AP175" s="22">
        <f>IF($A175="","",SUMPRODUCT((COUNTIFS('紐付け'!$A$4:$A$200,$A175,'紐付け'!$C$4:$C$200,'業務'!$C$4:$C$200)&gt;0)*('業務'!$A$4:$A$200&lt;&gt;"")*('業務'!$P$4:$P$200="移管")))</f>
        <v/>
      </c>
      <c r="AQ175" s="22">
        <f>IF($A175="","",SUMPRODUCT((COUNTIFS('紐付け'!$A$4:$A$200,$A175,'紐付け'!$C$4:$C$200,'業務'!$C$4:$C$200)&gt;0)*('業務'!$A$4:$A$200&lt;&gt;"")*('業務'!$P$4:$P$200="留保")))</f>
        <v/>
      </c>
      <c r="AR175" s="22">
        <f>IF($A175="","",AO175-AP175-AQ175)</f>
        <v/>
      </c>
      <c r="AS175" s="22">
        <f>IF($A175="","",SUMPRODUCT(('紐付け'!$A$4:$A$200=$A175)*('紐付け'!$C$4:$C$200&lt;&gt;"")*(COUNTIF('業務'!$C$4:$C$200,'紐付け'!$C$4:$C$200)=0)*(COUNTIFS('システム'!$A$4:$A$200,'紐付け'!$C$4:$C$200,'システム'!$N$4:$N$200,"留保")&gt;0)))</f>
        <v/>
      </c>
      <c r="AT175" s="22">
        <f>IF($A175="","",SUMPRODUCT(('紐付け'!$A$4:$A$200=$A175)*('紐付け'!$C$4:$C$200&lt;&gt;"")*(COUNTIF('業務'!$C$4:$C$200,'紐付け'!$C$4:$C$200)=0))-AS175)</f>
        <v/>
      </c>
      <c r="AU175" s="22">
        <f>IF($A175="","",COUNTIF('契約'!$C$4:$C$200,$A175))</f>
        <v/>
      </c>
      <c r="AV175" s="22">
        <f>IF($A175="","",COUNTIFS('契約'!$C$4:$C$200,$A175,'契約'!$O$4:$O$200,"移管"))</f>
        <v/>
      </c>
      <c r="AW175" s="22">
        <f>IF($A175="","",COUNTIFS('契約'!$C$4:$C$200,$A175,'契約'!$O$4:$O$200,"一部"))</f>
        <v/>
      </c>
      <c r="AX175" s="22">
        <f>IF($A175="","",COUNTIFS('契約'!$C$4:$C$200,$A175,'契約'!$O$4:$O$200,"判定保留"))</f>
        <v/>
      </c>
      <c r="AY175" s="22">
        <f>IF($A175="","",COUNTIFS('契約'!$C$4:$C$200,$A175,'契約'!$O$4:$O$200,"留保"))</f>
        <v/>
      </c>
    </row>
    <row r="176">
      <c r="A176" s="17" t="n"/>
      <c r="B176" s="17" t="n"/>
      <c r="C176" s="17" t="n"/>
      <c r="D176" s="17" t="n"/>
      <c r="E176" s="17" t="n"/>
      <c r="F176" s="17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9">
        <f>IF(COUNT(G176:R176)=0,"",SUM(G176:R176))</f>
        <v/>
      </c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9">
        <f>IF(COUNT(T176:AE176)=0,"",SUM(T176:AE176))</f>
        <v/>
      </c>
      <c r="AG176" s="17" t="n"/>
      <c r="AH176" s="17" t="n"/>
      <c r="AI176" s="17" t="n"/>
      <c r="AJ176" s="17" t="n"/>
      <c r="AK176" s="17" t="n"/>
      <c r="AL176" s="22">
        <f>IF($A176="","",IF(OR(AM176="移管",AN176="移管"),"移管",IF(OR(AM176="一部",AN176="一部"),"一部",IF(OR(AM176="判定保留",AN176="判定保留"),"判定保留",IF(OR(AM176="留保",AN176="留保"),"留保","対象外")))))</f>
        <v/>
      </c>
      <c r="AM176" s="22">
        <f>IF($A176="","",IF(AU176=0,"対象外",IF(AV176=AU176,"移管",IF(AV176+AW176&gt;0,"一部",IF(AX176&gt;0,"判定保留",IF(AY176&gt;0,"留保","対象外"))))))</f>
        <v/>
      </c>
      <c r="AN176" s="22">
        <f>IF($A176="","",IF((AO176+AS176+AT176)=0,"対象外",IF(AP176=(AO176+AS176+AT176),"移管",IF(AP176&gt;0,"一部",IF(AR176+AT176&gt;0,"判定保留",IF(AQ176+AS176&gt;0,"留保","対象外"))))))</f>
        <v/>
      </c>
      <c r="AO176" s="22">
        <f>IF($A176="","",SUMPRODUCT((COUNTIFS('紐付け'!$A$4:$A$200,$A176,'紐付け'!$C$4:$C$200,'業務'!$C$4:$C$200)&gt;0)*('業務'!$A$4:$A$200&lt;&gt;"")))</f>
        <v/>
      </c>
      <c r="AP176" s="22">
        <f>IF($A176="","",SUMPRODUCT((COUNTIFS('紐付け'!$A$4:$A$200,$A176,'紐付け'!$C$4:$C$200,'業務'!$C$4:$C$200)&gt;0)*('業務'!$A$4:$A$200&lt;&gt;"")*('業務'!$P$4:$P$200="移管")))</f>
        <v/>
      </c>
      <c r="AQ176" s="22">
        <f>IF($A176="","",SUMPRODUCT((COUNTIFS('紐付け'!$A$4:$A$200,$A176,'紐付け'!$C$4:$C$200,'業務'!$C$4:$C$200)&gt;0)*('業務'!$A$4:$A$200&lt;&gt;"")*('業務'!$P$4:$P$200="留保")))</f>
        <v/>
      </c>
      <c r="AR176" s="22">
        <f>IF($A176="","",AO176-AP176-AQ176)</f>
        <v/>
      </c>
      <c r="AS176" s="22">
        <f>IF($A176="","",SUMPRODUCT(('紐付け'!$A$4:$A$200=$A176)*('紐付け'!$C$4:$C$200&lt;&gt;"")*(COUNTIF('業務'!$C$4:$C$200,'紐付け'!$C$4:$C$200)=0)*(COUNTIFS('システム'!$A$4:$A$200,'紐付け'!$C$4:$C$200,'システム'!$N$4:$N$200,"留保")&gt;0)))</f>
        <v/>
      </c>
      <c r="AT176" s="22">
        <f>IF($A176="","",SUMPRODUCT(('紐付け'!$A$4:$A$200=$A176)*('紐付け'!$C$4:$C$200&lt;&gt;"")*(COUNTIF('業務'!$C$4:$C$200,'紐付け'!$C$4:$C$200)=0))-AS176)</f>
        <v/>
      </c>
      <c r="AU176" s="22">
        <f>IF($A176="","",COUNTIF('契約'!$C$4:$C$200,$A176))</f>
        <v/>
      </c>
      <c r="AV176" s="22">
        <f>IF($A176="","",COUNTIFS('契約'!$C$4:$C$200,$A176,'契約'!$O$4:$O$200,"移管"))</f>
        <v/>
      </c>
      <c r="AW176" s="22">
        <f>IF($A176="","",COUNTIFS('契約'!$C$4:$C$200,$A176,'契約'!$O$4:$O$200,"一部"))</f>
        <v/>
      </c>
      <c r="AX176" s="22">
        <f>IF($A176="","",COUNTIFS('契約'!$C$4:$C$200,$A176,'契約'!$O$4:$O$200,"判定保留"))</f>
        <v/>
      </c>
      <c r="AY176" s="22">
        <f>IF($A176="","",COUNTIFS('契約'!$C$4:$C$200,$A176,'契約'!$O$4:$O$200,"留保"))</f>
        <v/>
      </c>
    </row>
    <row r="177">
      <c r="A177" s="17" t="n"/>
      <c r="B177" s="17" t="n"/>
      <c r="C177" s="17" t="n"/>
      <c r="D177" s="17" t="n"/>
      <c r="E177" s="17" t="n"/>
      <c r="F177" s="17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9">
        <f>IF(COUNT(G177:R177)=0,"",SUM(G177:R177))</f>
        <v/>
      </c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9">
        <f>IF(COUNT(T177:AE177)=0,"",SUM(T177:AE177))</f>
        <v/>
      </c>
      <c r="AG177" s="17" t="n"/>
      <c r="AH177" s="17" t="n"/>
      <c r="AI177" s="17" t="n"/>
      <c r="AJ177" s="17" t="n"/>
      <c r="AK177" s="17" t="n"/>
      <c r="AL177" s="22">
        <f>IF($A177="","",IF(OR(AM177="移管",AN177="移管"),"移管",IF(OR(AM177="一部",AN177="一部"),"一部",IF(OR(AM177="判定保留",AN177="判定保留"),"判定保留",IF(OR(AM177="留保",AN177="留保"),"留保","対象外")))))</f>
        <v/>
      </c>
      <c r="AM177" s="22">
        <f>IF($A177="","",IF(AU177=0,"対象外",IF(AV177=AU177,"移管",IF(AV177+AW177&gt;0,"一部",IF(AX177&gt;0,"判定保留",IF(AY177&gt;0,"留保","対象外"))))))</f>
        <v/>
      </c>
      <c r="AN177" s="22">
        <f>IF($A177="","",IF((AO177+AS177+AT177)=0,"対象外",IF(AP177=(AO177+AS177+AT177),"移管",IF(AP177&gt;0,"一部",IF(AR177+AT177&gt;0,"判定保留",IF(AQ177+AS177&gt;0,"留保","対象外"))))))</f>
        <v/>
      </c>
      <c r="AO177" s="22">
        <f>IF($A177="","",SUMPRODUCT((COUNTIFS('紐付け'!$A$4:$A$200,$A177,'紐付け'!$C$4:$C$200,'業務'!$C$4:$C$200)&gt;0)*('業務'!$A$4:$A$200&lt;&gt;"")))</f>
        <v/>
      </c>
      <c r="AP177" s="22">
        <f>IF($A177="","",SUMPRODUCT((COUNTIFS('紐付け'!$A$4:$A$200,$A177,'紐付け'!$C$4:$C$200,'業務'!$C$4:$C$200)&gt;0)*('業務'!$A$4:$A$200&lt;&gt;"")*('業務'!$P$4:$P$200="移管")))</f>
        <v/>
      </c>
      <c r="AQ177" s="22">
        <f>IF($A177="","",SUMPRODUCT((COUNTIFS('紐付け'!$A$4:$A$200,$A177,'紐付け'!$C$4:$C$200,'業務'!$C$4:$C$200)&gt;0)*('業務'!$A$4:$A$200&lt;&gt;"")*('業務'!$P$4:$P$200="留保")))</f>
        <v/>
      </c>
      <c r="AR177" s="22">
        <f>IF($A177="","",AO177-AP177-AQ177)</f>
        <v/>
      </c>
      <c r="AS177" s="22">
        <f>IF($A177="","",SUMPRODUCT(('紐付け'!$A$4:$A$200=$A177)*('紐付け'!$C$4:$C$200&lt;&gt;"")*(COUNTIF('業務'!$C$4:$C$200,'紐付け'!$C$4:$C$200)=0)*(COUNTIFS('システム'!$A$4:$A$200,'紐付け'!$C$4:$C$200,'システム'!$N$4:$N$200,"留保")&gt;0)))</f>
        <v/>
      </c>
      <c r="AT177" s="22">
        <f>IF($A177="","",SUMPRODUCT(('紐付け'!$A$4:$A$200=$A177)*('紐付け'!$C$4:$C$200&lt;&gt;"")*(COUNTIF('業務'!$C$4:$C$200,'紐付け'!$C$4:$C$200)=0))-AS177)</f>
        <v/>
      </c>
      <c r="AU177" s="22">
        <f>IF($A177="","",COUNTIF('契約'!$C$4:$C$200,$A177))</f>
        <v/>
      </c>
      <c r="AV177" s="22">
        <f>IF($A177="","",COUNTIFS('契約'!$C$4:$C$200,$A177,'契約'!$O$4:$O$200,"移管"))</f>
        <v/>
      </c>
      <c r="AW177" s="22">
        <f>IF($A177="","",COUNTIFS('契約'!$C$4:$C$200,$A177,'契約'!$O$4:$O$200,"一部"))</f>
        <v/>
      </c>
      <c r="AX177" s="22">
        <f>IF($A177="","",COUNTIFS('契約'!$C$4:$C$200,$A177,'契約'!$O$4:$O$200,"判定保留"))</f>
        <v/>
      </c>
      <c r="AY177" s="22">
        <f>IF($A177="","",COUNTIFS('契約'!$C$4:$C$200,$A177,'契約'!$O$4:$O$200,"留保"))</f>
        <v/>
      </c>
    </row>
    <row r="178">
      <c r="A178" s="17" t="n"/>
      <c r="B178" s="17" t="n"/>
      <c r="C178" s="17" t="n"/>
      <c r="D178" s="17" t="n"/>
      <c r="E178" s="17" t="n"/>
      <c r="F178" s="17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9">
        <f>IF(COUNT(G178:R178)=0,"",SUM(G178:R178))</f>
        <v/>
      </c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9">
        <f>IF(COUNT(T178:AE178)=0,"",SUM(T178:AE178))</f>
        <v/>
      </c>
      <c r="AG178" s="17" t="n"/>
      <c r="AH178" s="17" t="n"/>
      <c r="AI178" s="17" t="n"/>
      <c r="AJ178" s="17" t="n"/>
      <c r="AK178" s="17" t="n"/>
      <c r="AL178" s="22">
        <f>IF($A178="","",IF(OR(AM178="移管",AN178="移管"),"移管",IF(OR(AM178="一部",AN178="一部"),"一部",IF(OR(AM178="判定保留",AN178="判定保留"),"判定保留",IF(OR(AM178="留保",AN178="留保"),"留保","対象外")))))</f>
        <v/>
      </c>
      <c r="AM178" s="22">
        <f>IF($A178="","",IF(AU178=0,"対象外",IF(AV178=AU178,"移管",IF(AV178+AW178&gt;0,"一部",IF(AX178&gt;0,"判定保留",IF(AY178&gt;0,"留保","対象外"))))))</f>
        <v/>
      </c>
      <c r="AN178" s="22">
        <f>IF($A178="","",IF((AO178+AS178+AT178)=0,"対象外",IF(AP178=(AO178+AS178+AT178),"移管",IF(AP178&gt;0,"一部",IF(AR178+AT178&gt;0,"判定保留",IF(AQ178+AS178&gt;0,"留保","対象外"))))))</f>
        <v/>
      </c>
      <c r="AO178" s="22">
        <f>IF($A178="","",SUMPRODUCT((COUNTIFS('紐付け'!$A$4:$A$200,$A178,'紐付け'!$C$4:$C$200,'業務'!$C$4:$C$200)&gt;0)*('業務'!$A$4:$A$200&lt;&gt;"")))</f>
        <v/>
      </c>
      <c r="AP178" s="22">
        <f>IF($A178="","",SUMPRODUCT((COUNTIFS('紐付け'!$A$4:$A$200,$A178,'紐付け'!$C$4:$C$200,'業務'!$C$4:$C$200)&gt;0)*('業務'!$A$4:$A$200&lt;&gt;"")*('業務'!$P$4:$P$200="移管")))</f>
        <v/>
      </c>
      <c r="AQ178" s="22">
        <f>IF($A178="","",SUMPRODUCT((COUNTIFS('紐付け'!$A$4:$A$200,$A178,'紐付け'!$C$4:$C$200,'業務'!$C$4:$C$200)&gt;0)*('業務'!$A$4:$A$200&lt;&gt;"")*('業務'!$P$4:$P$200="留保")))</f>
        <v/>
      </c>
      <c r="AR178" s="22">
        <f>IF($A178="","",AO178-AP178-AQ178)</f>
        <v/>
      </c>
      <c r="AS178" s="22">
        <f>IF($A178="","",SUMPRODUCT(('紐付け'!$A$4:$A$200=$A178)*('紐付け'!$C$4:$C$200&lt;&gt;"")*(COUNTIF('業務'!$C$4:$C$200,'紐付け'!$C$4:$C$200)=0)*(COUNTIFS('システム'!$A$4:$A$200,'紐付け'!$C$4:$C$200,'システム'!$N$4:$N$200,"留保")&gt;0)))</f>
        <v/>
      </c>
      <c r="AT178" s="22">
        <f>IF($A178="","",SUMPRODUCT(('紐付け'!$A$4:$A$200=$A178)*('紐付け'!$C$4:$C$200&lt;&gt;"")*(COUNTIF('業務'!$C$4:$C$200,'紐付け'!$C$4:$C$200)=0))-AS178)</f>
        <v/>
      </c>
      <c r="AU178" s="22">
        <f>IF($A178="","",COUNTIF('契約'!$C$4:$C$200,$A178))</f>
        <v/>
      </c>
      <c r="AV178" s="22">
        <f>IF($A178="","",COUNTIFS('契約'!$C$4:$C$200,$A178,'契約'!$O$4:$O$200,"移管"))</f>
        <v/>
      </c>
      <c r="AW178" s="22">
        <f>IF($A178="","",COUNTIFS('契約'!$C$4:$C$200,$A178,'契約'!$O$4:$O$200,"一部"))</f>
        <v/>
      </c>
      <c r="AX178" s="22">
        <f>IF($A178="","",COUNTIFS('契約'!$C$4:$C$200,$A178,'契約'!$O$4:$O$200,"判定保留"))</f>
        <v/>
      </c>
      <c r="AY178" s="22">
        <f>IF($A178="","",COUNTIFS('契約'!$C$4:$C$200,$A178,'契約'!$O$4:$O$200,"留保"))</f>
        <v/>
      </c>
    </row>
    <row r="179">
      <c r="A179" s="17" t="n"/>
      <c r="B179" s="17" t="n"/>
      <c r="C179" s="17" t="n"/>
      <c r="D179" s="17" t="n"/>
      <c r="E179" s="17" t="n"/>
      <c r="F179" s="17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9">
        <f>IF(COUNT(G179:R179)=0,"",SUM(G179:R179))</f>
        <v/>
      </c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9">
        <f>IF(COUNT(T179:AE179)=0,"",SUM(T179:AE179))</f>
        <v/>
      </c>
      <c r="AG179" s="17" t="n"/>
      <c r="AH179" s="17" t="n"/>
      <c r="AI179" s="17" t="n"/>
      <c r="AJ179" s="17" t="n"/>
      <c r="AK179" s="17" t="n"/>
      <c r="AL179" s="22">
        <f>IF($A179="","",IF(OR(AM179="移管",AN179="移管"),"移管",IF(OR(AM179="一部",AN179="一部"),"一部",IF(OR(AM179="判定保留",AN179="判定保留"),"判定保留",IF(OR(AM179="留保",AN179="留保"),"留保","対象外")))))</f>
        <v/>
      </c>
      <c r="AM179" s="22">
        <f>IF($A179="","",IF(AU179=0,"対象外",IF(AV179=AU179,"移管",IF(AV179+AW179&gt;0,"一部",IF(AX179&gt;0,"判定保留",IF(AY179&gt;0,"留保","対象外"))))))</f>
        <v/>
      </c>
      <c r="AN179" s="22">
        <f>IF($A179="","",IF((AO179+AS179+AT179)=0,"対象外",IF(AP179=(AO179+AS179+AT179),"移管",IF(AP179&gt;0,"一部",IF(AR179+AT179&gt;0,"判定保留",IF(AQ179+AS179&gt;0,"留保","対象外"))))))</f>
        <v/>
      </c>
      <c r="AO179" s="22">
        <f>IF($A179="","",SUMPRODUCT((COUNTIFS('紐付け'!$A$4:$A$200,$A179,'紐付け'!$C$4:$C$200,'業務'!$C$4:$C$200)&gt;0)*('業務'!$A$4:$A$200&lt;&gt;"")))</f>
        <v/>
      </c>
      <c r="AP179" s="22">
        <f>IF($A179="","",SUMPRODUCT((COUNTIFS('紐付け'!$A$4:$A$200,$A179,'紐付け'!$C$4:$C$200,'業務'!$C$4:$C$200)&gt;0)*('業務'!$A$4:$A$200&lt;&gt;"")*('業務'!$P$4:$P$200="移管")))</f>
        <v/>
      </c>
      <c r="AQ179" s="22">
        <f>IF($A179="","",SUMPRODUCT((COUNTIFS('紐付け'!$A$4:$A$200,$A179,'紐付け'!$C$4:$C$200,'業務'!$C$4:$C$200)&gt;0)*('業務'!$A$4:$A$200&lt;&gt;"")*('業務'!$P$4:$P$200="留保")))</f>
        <v/>
      </c>
      <c r="AR179" s="22">
        <f>IF($A179="","",AO179-AP179-AQ179)</f>
        <v/>
      </c>
      <c r="AS179" s="22">
        <f>IF($A179="","",SUMPRODUCT(('紐付け'!$A$4:$A$200=$A179)*('紐付け'!$C$4:$C$200&lt;&gt;"")*(COUNTIF('業務'!$C$4:$C$200,'紐付け'!$C$4:$C$200)=0)*(COUNTIFS('システム'!$A$4:$A$200,'紐付け'!$C$4:$C$200,'システム'!$N$4:$N$200,"留保")&gt;0)))</f>
        <v/>
      </c>
      <c r="AT179" s="22">
        <f>IF($A179="","",SUMPRODUCT(('紐付け'!$A$4:$A$200=$A179)*('紐付け'!$C$4:$C$200&lt;&gt;"")*(COUNTIF('業務'!$C$4:$C$200,'紐付け'!$C$4:$C$200)=0))-AS179)</f>
        <v/>
      </c>
      <c r="AU179" s="22">
        <f>IF($A179="","",COUNTIF('契約'!$C$4:$C$200,$A179))</f>
        <v/>
      </c>
      <c r="AV179" s="22">
        <f>IF($A179="","",COUNTIFS('契約'!$C$4:$C$200,$A179,'契約'!$O$4:$O$200,"移管"))</f>
        <v/>
      </c>
      <c r="AW179" s="22">
        <f>IF($A179="","",COUNTIFS('契約'!$C$4:$C$200,$A179,'契約'!$O$4:$O$200,"一部"))</f>
        <v/>
      </c>
      <c r="AX179" s="22">
        <f>IF($A179="","",COUNTIFS('契約'!$C$4:$C$200,$A179,'契約'!$O$4:$O$200,"判定保留"))</f>
        <v/>
      </c>
      <c r="AY179" s="22">
        <f>IF($A179="","",COUNTIFS('契約'!$C$4:$C$200,$A179,'契約'!$O$4:$O$200,"留保"))</f>
        <v/>
      </c>
    </row>
    <row r="180">
      <c r="A180" s="17" t="n"/>
      <c r="B180" s="17" t="n"/>
      <c r="C180" s="17" t="n"/>
      <c r="D180" s="17" t="n"/>
      <c r="E180" s="17" t="n"/>
      <c r="F180" s="17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9">
        <f>IF(COUNT(G180:R180)=0,"",SUM(G180:R180))</f>
        <v/>
      </c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9">
        <f>IF(COUNT(T180:AE180)=0,"",SUM(T180:AE180))</f>
        <v/>
      </c>
      <c r="AG180" s="17" t="n"/>
      <c r="AH180" s="17" t="n"/>
      <c r="AI180" s="17" t="n"/>
      <c r="AJ180" s="17" t="n"/>
      <c r="AK180" s="17" t="n"/>
      <c r="AL180" s="22">
        <f>IF($A180="","",IF(OR(AM180="移管",AN180="移管"),"移管",IF(OR(AM180="一部",AN180="一部"),"一部",IF(OR(AM180="判定保留",AN180="判定保留"),"判定保留",IF(OR(AM180="留保",AN180="留保"),"留保","対象外")))))</f>
        <v/>
      </c>
      <c r="AM180" s="22">
        <f>IF($A180="","",IF(AU180=0,"対象外",IF(AV180=AU180,"移管",IF(AV180+AW180&gt;0,"一部",IF(AX180&gt;0,"判定保留",IF(AY180&gt;0,"留保","対象外"))))))</f>
        <v/>
      </c>
      <c r="AN180" s="22">
        <f>IF($A180="","",IF((AO180+AS180+AT180)=0,"対象外",IF(AP180=(AO180+AS180+AT180),"移管",IF(AP180&gt;0,"一部",IF(AR180+AT180&gt;0,"判定保留",IF(AQ180+AS180&gt;0,"留保","対象外"))))))</f>
        <v/>
      </c>
      <c r="AO180" s="22">
        <f>IF($A180="","",SUMPRODUCT((COUNTIFS('紐付け'!$A$4:$A$200,$A180,'紐付け'!$C$4:$C$200,'業務'!$C$4:$C$200)&gt;0)*('業務'!$A$4:$A$200&lt;&gt;"")))</f>
        <v/>
      </c>
      <c r="AP180" s="22">
        <f>IF($A180="","",SUMPRODUCT((COUNTIFS('紐付け'!$A$4:$A$200,$A180,'紐付け'!$C$4:$C$200,'業務'!$C$4:$C$200)&gt;0)*('業務'!$A$4:$A$200&lt;&gt;"")*('業務'!$P$4:$P$200="移管")))</f>
        <v/>
      </c>
      <c r="AQ180" s="22">
        <f>IF($A180="","",SUMPRODUCT((COUNTIFS('紐付け'!$A$4:$A$200,$A180,'紐付け'!$C$4:$C$200,'業務'!$C$4:$C$200)&gt;0)*('業務'!$A$4:$A$200&lt;&gt;"")*('業務'!$P$4:$P$200="留保")))</f>
        <v/>
      </c>
      <c r="AR180" s="22">
        <f>IF($A180="","",AO180-AP180-AQ180)</f>
        <v/>
      </c>
      <c r="AS180" s="22">
        <f>IF($A180="","",SUMPRODUCT(('紐付け'!$A$4:$A$200=$A180)*('紐付け'!$C$4:$C$200&lt;&gt;"")*(COUNTIF('業務'!$C$4:$C$200,'紐付け'!$C$4:$C$200)=0)*(COUNTIFS('システム'!$A$4:$A$200,'紐付け'!$C$4:$C$200,'システム'!$N$4:$N$200,"留保")&gt;0)))</f>
        <v/>
      </c>
      <c r="AT180" s="22">
        <f>IF($A180="","",SUMPRODUCT(('紐付け'!$A$4:$A$200=$A180)*('紐付け'!$C$4:$C$200&lt;&gt;"")*(COUNTIF('業務'!$C$4:$C$200,'紐付け'!$C$4:$C$200)=0))-AS180)</f>
        <v/>
      </c>
      <c r="AU180" s="22">
        <f>IF($A180="","",COUNTIF('契約'!$C$4:$C$200,$A180))</f>
        <v/>
      </c>
      <c r="AV180" s="22">
        <f>IF($A180="","",COUNTIFS('契約'!$C$4:$C$200,$A180,'契約'!$O$4:$O$200,"移管"))</f>
        <v/>
      </c>
      <c r="AW180" s="22">
        <f>IF($A180="","",COUNTIFS('契約'!$C$4:$C$200,$A180,'契約'!$O$4:$O$200,"一部"))</f>
        <v/>
      </c>
      <c r="AX180" s="22">
        <f>IF($A180="","",COUNTIFS('契約'!$C$4:$C$200,$A180,'契約'!$O$4:$O$200,"判定保留"))</f>
        <v/>
      </c>
      <c r="AY180" s="22">
        <f>IF($A180="","",COUNTIFS('契約'!$C$4:$C$200,$A180,'契約'!$O$4:$O$200,"留保"))</f>
        <v/>
      </c>
    </row>
    <row r="181">
      <c r="A181" s="17" t="n"/>
      <c r="B181" s="17" t="n"/>
      <c r="C181" s="17" t="n"/>
      <c r="D181" s="17" t="n"/>
      <c r="E181" s="17" t="n"/>
      <c r="F181" s="17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9">
        <f>IF(COUNT(G181:R181)=0,"",SUM(G181:R181))</f>
        <v/>
      </c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9">
        <f>IF(COUNT(T181:AE181)=0,"",SUM(T181:AE181))</f>
        <v/>
      </c>
      <c r="AG181" s="17" t="n"/>
      <c r="AH181" s="17" t="n"/>
      <c r="AI181" s="17" t="n"/>
      <c r="AJ181" s="17" t="n"/>
      <c r="AK181" s="17" t="n"/>
      <c r="AL181" s="22">
        <f>IF($A181="","",IF(OR(AM181="移管",AN181="移管"),"移管",IF(OR(AM181="一部",AN181="一部"),"一部",IF(OR(AM181="判定保留",AN181="判定保留"),"判定保留",IF(OR(AM181="留保",AN181="留保"),"留保","対象外")))))</f>
        <v/>
      </c>
      <c r="AM181" s="22">
        <f>IF($A181="","",IF(AU181=0,"対象外",IF(AV181=AU181,"移管",IF(AV181+AW181&gt;0,"一部",IF(AX181&gt;0,"判定保留",IF(AY181&gt;0,"留保","対象外"))))))</f>
        <v/>
      </c>
      <c r="AN181" s="22">
        <f>IF($A181="","",IF((AO181+AS181+AT181)=0,"対象外",IF(AP181=(AO181+AS181+AT181),"移管",IF(AP181&gt;0,"一部",IF(AR181+AT181&gt;0,"判定保留",IF(AQ181+AS181&gt;0,"留保","対象外"))))))</f>
        <v/>
      </c>
      <c r="AO181" s="22">
        <f>IF($A181="","",SUMPRODUCT((COUNTIFS('紐付け'!$A$4:$A$200,$A181,'紐付け'!$C$4:$C$200,'業務'!$C$4:$C$200)&gt;0)*('業務'!$A$4:$A$200&lt;&gt;"")))</f>
        <v/>
      </c>
      <c r="AP181" s="22">
        <f>IF($A181="","",SUMPRODUCT((COUNTIFS('紐付け'!$A$4:$A$200,$A181,'紐付け'!$C$4:$C$200,'業務'!$C$4:$C$200)&gt;0)*('業務'!$A$4:$A$200&lt;&gt;"")*('業務'!$P$4:$P$200="移管")))</f>
        <v/>
      </c>
      <c r="AQ181" s="22">
        <f>IF($A181="","",SUMPRODUCT((COUNTIFS('紐付け'!$A$4:$A$200,$A181,'紐付け'!$C$4:$C$200,'業務'!$C$4:$C$200)&gt;0)*('業務'!$A$4:$A$200&lt;&gt;"")*('業務'!$P$4:$P$200="留保")))</f>
        <v/>
      </c>
      <c r="AR181" s="22">
        <f>IF($A181="","",AO181-AP181-AQ181)</f>
        <v/>
      </c>
      <c r="AS181" s="22">
        <f>IF($A181="","",SUMPRODUCT(('紐付け'!$A$4:$A$200=$A181)*('紐付け'!$C$4:$C$200&lt;&gt;"")*(COUNTIF('業務'!$C$4:$C$200,'紐付け'!$C$4:$C$200)=0)*(COUNTIFS('システム'!$A$4:$A$200,'紐付け'!$C$4:$C$200,'システム'!$N$4:$N$200,"留保")&gt;0)))</f>
        <v/>
      </c>
      <c r="AT181" s="22">
        <f>IF($A181="","",SUMPRODUCT(('紐付け'!$A$4:$A$200=$A181)*('紐付け'!$C$4:$C$200&lt;&gt;"")*(COUNTIF('業務'!$C$4:$C$200,'紐付け'!$C$4:$C$200)=0))-AS181)</f>
        <v/>
      </c>
      <c r="AU181" s="22">
        <f>IF($A181="","",COUNTIF('契約'!$C$4:$C$200,$A181))</f>
        <v/>
      </c>
      <c r="AV181" s="22">
        <f>IF($A181="","",COUNTIFS('契約'!$C$4:$C$200,$A181,'契約'!$O$4:$O$200,"移管"))</f>
        <v/>
      </c>
      <c r="AW181" s="22">
        <f>IF($A181="","",COUNTIFS('契約'!$C$4:$C$200,$A181,'契約'!$O$4:$O$200,"一部"))</f>
        <v/>
      </c>
      <c r="AX181" s="22">
        <f>IF($A181="","",COUNTIFS('契約'!$C$4:$C$200,$A181,'契約'!$O$4:$O$200,"判定保留"))</f>
        <v/>
      </c>
      <c r="AY181" s="22">
        <f>IF($A181="","",COUNTIFS('契約'!$C$4:$C$200,$A181,'契約'!$O$4:$O$200,"留保"))</f>
        <v/>
      </c>
    </row>
    <row r="182">
      <c r="A182" s="17" t="n"/>
      <c r="B182" s="17" t="n"/>
      <c r="C182" s="17" t="n"/>
      <c r="D182" s="17" t="n"/>
      <c r="E182" s="17" t="n"/>
      <c r="F182" s="17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9">
        <f>IF(COUNT(G182:R182)=0,"",SUM(G182:R182))</f>
        <v/>
      </c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9">
        <f>IF(COUNT(T182:AE182)=0,"",SUM(T182:AE182))</f>
        <v/>
      </c>
      <c r="AG182" s="17" t="n"/>
      <c r="AH182" s="17" t="n"/>
      <c r="AI182" s="17" t="n"/>
      <c r="AJ182" s="17" t="n"/>
      <c r="AK182" s="17" t="n"/>
      <c r="AL182" s="22">
        <f>IF($A182="","",IF(OR(AM182="移管",AN182="移管"),"移管",IF(OR(AM182="一部",AN182="一部"),"一部",IF(OR(AM182="判定保留",AN182="判定保留"),"判定保留",IF(OR(AM182="留保",AN182="留保"),"留保","対象外")))))</f>
        <v/>
      </c>
      <c r="AM182" s="22">
        <f>IF($A182="","",IF(AU182=0,"対象外",IF(AV182=AU182,"移管",IF(AV182+AW182&gt;0,"一部",IF(AX182&gt;0,"判定保留",IF(AY182&gt;0,"留保","対象外"))))))</f>
        <v/>
      </c>
      <c r="AN182" s="22">
        <f>IF($A182="","",IF((AO182+AS182+AT182)=0,"対象外",IF(AP182=(AO182+AS182+AT182),"移管",IF(AP182&gt;0,"一部",IF(AR182+AT182&gt;0,"判定保留",IF(AQ182+AS182&gt;0,"留保","対象外"))))))</f>
        <v/>
      </c>
      <c r="AO182" s="22">
        <f>IF($A182="","",SUMPRODUCT((COUNTIFS('紐付け'!$A$4:$A$200,$A182,'紐付け'!$C$4:$C$200,'業務'!$C$4:$C$200)&gt;0)*('業務'!$A$4:$A$200&lt;&gt;"")))</f>
        <v/>
      </c>
      <c r="AP182" s="22">
        <f>IF($A182="","",SUMPRODUCT((COUNTIFS('紐付け'!$A$4:$A$200,$A182,'紐付け'!$C$4:$C$200,'業務'!$C$4:$C$200)&gt;0)*('業務'!$A$4:$A$200&lt;&gt;"")*('業務'!$P$4:$P$200="移管")))</f>
        <v/>
      </c>
      <c r="AQ182" s="22">
        <f>IF($A182="","",SUMPRODUCT((COUNTIFS('紐付け'!$A$4:$A$200,$A182,'紐付け'!$C$4:$C$200,'業務'!$C$4:$C$200)&gt;0)*('業務'!$A$4:$A$200&lt;&gt;"")*('業務'!$P$4:$P$200="留保")))</f>
        <v/>
      </c>
      <c r="AR182" s="22">
        <f>IF($A182="","",AO182-AP182-AQ182)</f>
        <v/>
      </c>
      <c r="AS182" s="22">
        <f>IF($A182="","",SUMPRODUCT(('紐付け'!$A$4:$A$200=$A182)*('紐付け'!$C$4:$C$200&lt;&gt;"")*(COUNTIF('業務'!$C$4:$C$200,'紐付け'!$C$4:$C$200)=0)*(COUNTIFS('システム'!$A$4:$A$200,'紐付け'!$C$4:$C$200,'システム'!$N$4:$N$200,"留保")&gt;0)))</f>
        <v/>
      </c>
      <c r="AT182" s="22">
        <f>IF($A182="","",SUMPRODUCT(('紐付け'!$A$4:$A$200=$A182)*('紐付け'!$C$4:$C$200&lt;&gt;"")*(COUNTIF('業務'!$C$4:$C$200,'紐付け'!$C$4:$C$200)=0))-AS182)</f>
        <v/>
      </c>
      <c r="AU182" s="22">
        <f>IF($A182="","",COUNTIF('契約'!$C$4:$C$200,$A182))</f>
        <v/>
      </c>
      <c r="AV182" s="22">
        <f>IF($A182="","",COUNTIFS('契約'!$C$4:$C$200,$A182,'契約'!$O$4:$O$200,"移管"))</f>
        <v/>
      </c>
      <c r="AW182" s="22">
        <f>IF($A182="","",COUNTIFS('契約'!$C$4:$C$200,$A182,'契約'!$O$4:$O$200,"一部"))</f>
        <v/>
      </c>
      <c r="AX182" s="22">
        <f>IF($A182="","",COUNTIFS('契約'!$C$4:$C$200,$A182,'契約'!$O$4:$O$200,"判定保留"))</f>
        <v/>
      </c>
      <c r="AY182" s="22">
        <f>IF($A182="","",COUNTIFS('契約'!$C$4:$C$200,$A182,'契約'!$O$4:$O$200,"留保"))</f>
        <v/>
      </c>
    </row>
    <row r="183">
      <c r="A183" s="17" t="n"/>
      <c r="B183" s="17" t="n"/>
      <c r="C183" s="17" t="n"/>
      <c r="D183" s="17" t="n"/>
      <c r="E183" s="17" t="n"/>
      <c r="F183" s="17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9">
        <f>IF(COUNT(G183:R183)=0,"",SUM(G183:R183))</f>
        <v/>
      </c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9">
        <f>IF(COUNT(T183:AE183)=0,"",SUM(T183:AE183))</f>
        <v/>
      </c>
      <c r="AG183" s="17" t="n"/>
      <c r="AH183" s="17" t="n"/>
      <c r="AI183" s="17" t="n"/>
      <c r="AJ183" s="17" t="n"/>
      <c r="AK183" s="17" t="n"/>
      <c r="AL183" s="22">
        <f>IF($A183="","",IF(OR(AM183="移管",AN183="移管"),"移管",IF(OR(AM183="一部",AN183="一部"),"一部",IF(OR(AM183="判定保留",AN183="判定保留"),"判定保留",IF(OR(AM183="留保",AN183="留保"),"留保","対象外")))))</f>
        <v/>
      </c>
      <c r="AM183" s="22">
        <f>IF($A183="","",IF(AU183=0,"対象外",IF(AV183=AU183,"移管",IF(AV183+AW183&gt;0,"一部",IF(AX183&gt;0,"判定保留",IF(AY183&gt;0,"留保","対象外"))))))</f>
        <v/>
      </c>
      <c r="AN183" s="22">
        <f>IF($A183="","",IF((AO183+AS183+AT183)=0,"対象外",IF(AP183=(AO183+AS183+AT183),"移管",IF(AP183&gt;0,"一部",IF(AR183+AT183&gt;0,"判定保留",IF(AQ183+AS183&gt;0,"留保","対象外"))))))</f>
        <v/>
      </c>
      <c r="AO183" s="22">
        <f>IF($A183="","",SUMPRODUCT((COUNTIFS('紐付け'!$A$4:$A$200,$A183,'紐付け'!$C$4:$C$200,'業務'!$C$4:$C$200)&gt;0)*('業務'!$A$4:$A$200&lt;&gt;"")))</f>
        <v/>
      </c>
      <c r="AP183" s="22">
        <f>IF($A183="","",SUMPRODUCT((COUNTIFS('紐付け'!$A$4:$A$200,$A183,'紐付け'!$C$4:$C$200,'業務'!$C$4:$C$200)&gt;0)*('業務'!$A$4:$A$200&lt;&gt;"")*('業務'!$P$4:$P$200="移管")))</f>
        <v/>
      </c>
      <c r="AQ183" s="22">
        <f>IF($A183="","",SUMPRODUCT((COUNTIFS('紐付け'!$A$4:$A$200,$A183,'紐付け'!$C$4:$C$200,'業務'!$C$4:$C$200)&gt;0)*('業務'!$A$4:$A$200&lt;&gt;"")*('業務'!$P$4:$P$200="留保")))</f>
        <v/>
      </c>
      <c r="AR183" s="22">
        <f>IF($A183="","",AO183-AP183-AQ183)</f>
        <v/>
      </c>
      <c r="AS183" s="22">
        <f>IF($A183="","",SUMPRODUCT(('紐付け'!$A$4:$A$200=$A183)*('紐付け'!$C$4:$C$200&lt;&gt;"")*(COUNTIF('業務'!$C$4:$C$200,'紐付け'!$C$4:$C$200)=0)*(COUNTIFS('システム'!$A$4:$A$200,'紐付け'!$C$4:$C$200,'システム'!$N$4:$N$200,"留保")&gt;0)))</f>
        <v/>
      </c>
      <c r="AT183" s="22">
        <f>IF($A183="","",SUMPRODUCT(('紐付け'!$A$4:$A$200=$A183)*('紐付け'!$C$4:$C$200&lt;&gt;"")*(COUNTIF('業務'!$C$4:$C$200,'紐付け'!$C$4:$C$200)=0))-AS183)</f>
        <v/>
      </c>
      <c r="AU183" s="22">
        <f>IF($A183="","",COUNTIF('契約'!$C$4:$C$200,$A183))</f>
        <v/>
      </c>
      <c r="AV183" s="22">
        <f>IF($A183="","",COUNTIFS('契約'!$C$4:$C$200,$A183,'契約'!$O$4:$O$200,"移管"))</f>
        <v/>
      </c>
      <c r="AW183" s="22">
        <f>IF($A183="","",COUNTIFS('契約'!$C$4:$C$200,$A183,'契約'!$O$4:$O$200,"一部"))</f>
        <v/>
      </c>
      <c r="AX183" s="22">
        <f>IF($A183="","",COUNTIFS('契約'!$C$4:$C$200,$A183,'契約'!$O$4:$O$200,"判定保留"))</f>
        <v/>
      </c>
      <c r="AY183" s="22">
        <f>IF($A183="","",COUNTIFS('契約'!$C$4:$C$200,$A183,'契約'!$O$4:$O$200,"留保"))</f>
        <v/>
      </c>
    </row>
    <row r="184">
      <c r="A184" s="17" t="n"/>
      <c r="B184" s="17" t="n"/>
      <c r="C184" s="17" t="n"/>
      <c r="D184" s="17" t="n"/>
      <c r="E184" s="17" t="n"/>
      <c r="F184" s="17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9">
        <f>IF(COUNT(G184:R184)=0,"",SUM(G184:R184))</f>
        <v/>
      </c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9">
        <f>IF(COUNT(T184:AE184)=0,"",SUM(T184:AE184))</f>
        <v/>
      </c>
      <c r="AG184" s="17" t="n"/>
      <c r="AH184" s="17" t="n"/>
      <c r="AI184" s="17" t="n"/>
      <c r="AJ184" s="17" t="n"/>
      <c r="AK184" s="17" t="n"/>
      <c r="AL184" s="22">
        <f>IF($A184="","",IF(OR(AM184="移管",AN184="移管"),"移管",IF(OR(AM184="一部",AN184="一部"),"一部",IF(OR(AM184="判定保留",AN184="判定保留"),"判定保留",IF(OR(AM184="留保",AN184="留保"),"留保","対象外")))))</f>
        <v/>
      </c>
      <c r="AM184" s="22">
        <f>IF($A184="","",IF(AU184=0,"対象外",IF(AV184=AU184,"移管",IF(AV184+AW184&gt;0,"一部",IF(AX184&gt;0,"判定保留",IF(AY184&gt;0,"留保","対象外"))))))</f>
        <v/>
      </c>
      <c r="AN184" s="22">
        <f>IF($A184="","",IF((AO184+AS184+AT184)=0,"対象外",IF(AP184=(AO184+AS184+AT184),"移管",IF(AP184&gt;0,"一部",IF(AR184+AT184&gt;0,"判定保留",IF(AQ184+AS184&gt;0,"留保","対象外"))))))</f>
        <v/>
      </c>
      <c r="AO184" s="22">
        <f>IF($A184="","",SUMPRODUCT((COUNTIFS('紐付け'!$A$4:$A$200,$A184,'紐付け'!$C$4:$C$200,'業務'!$C$4:$C$200)&gt;0)*('業務'!$A$4:$A$200&lt;&gt;"")))</f>
        <v/>
      </c>
      <c r="AP184" s="22">
        <f>IF($A184="","",SUMPRODUCT((COUNTIFS('紐付け'!$A$4:$A$200,$A184,'紐付け'!$C$4:$C$200,'業務'!$C$4:$C$200)&gt;0)*('業務'!$A$4:$A$200&lt;&gt;"")*('業務'!$P$4:$P$200="移管")))</f>
        <v/>
      </c>
      <c r="AQ184" s="22">
        <f>IF($A184="","",SUMPRODUCT((COUNTIFS('紐付け'!$A$4:$A$200,$A184,'紐付け'!$C$4:$C$200,'業務'!$C$4:$C$200)&gt;0)*('業務'!$A$4:$A$200&lt;&gt;"")*('業務'!$P$4:$P$200="留保")))</f>
        <v/>
      </c>
      <c r="AR184" s="22">
        <f>IF($A184="","",AO184-AP184-AQ184)</f>
        <v/>
      </c>
      <c r="AS184" s="22">
        <f>IF($A184="","",SUMPRODUCT(('紐付け'!$A$4:$A$200=$A184)*('紐付け'!$C$4:$C$200&lt;&gt;"")*(COUNTIF('業務'!$C$4:$C$200,'紐付け'!$C$4:$C$200)=0)*(COUNTIFS('システム'!$A$4:$A$200,'紐付け'!$C$4:$C$200,'システム'!$N$4:$N$200,"留保")&gt;0)))</f>
        <v/>
      </c>
      <c r="AT184" s="22">
        <f>IF($A184="","",SUMPRODUCT(('紐付け'!$A$4:$A$200=$A184)*('紐付け'!$C$4:$C$200&lt;&gt;"")*(COUNTIF('業務'!$C$4:$C$200,'紐付け'!$C$4:$C$200)=0))-AS184)</f>
        <v/>
      </c>
      <c r="AU184" s="22">
        <f>IF($A184="","",COUNTIF('契約'!$C$4:$C$200,$A184))</f>
        <v/>
      </c>
      <c r="AV184" s="22">
        <f>IF($A184="","",COUNTIFS('契約'!$C$4:$C$200,$A184,'契約'!$O$4:$O$200,"移管"))</f>
        <v/>
      </c>
      <c r="AW184" s="22">
        <f>IF($A184="","",COUNTIFS('契約'!$C$4:$C$200,$A184,'契約'!$O$4:$O$200,"一部"))</f>
        <v/>
      </c>
      <c r="AX184" s="22">
        <f>IF($A184="","",COUNTIFS('契約'!$C$4:$C$200,$A184,'契約'!$O$4:$O$200,"判定保留"))</f>
        <v/>
      </c>
      <c r="AY184" s="22">
        <f>IF($A184="","",COUNTIFS('契約'!$C$4:$C$200,$A184,'契約'!$O$4:$O$200,"留保"))</f>
        <v/>
      </c>
    </row>
    <row r="185">
      <c r="A185" s="17" t="n"/>
      <c r="B185" s="17" t="n"/>
      <c r="C185" s="17" t="n"/>
      <c r="D185" s="17" t="n"/>
      <c r="E185" s="17" t="n"/>
      <c r="F185" s="17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9">
        <f>IF(COUNT(G185:R185)=0,"",SUM(G185:R185))</f>
        <v/>
      </c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9">
        <f>IF(COUNT(T185:AE185)=0,"",SUM(T185:AE185))</f>
        <v/>
      </c>
      <c r="AG185" s="17" t="n"/>
      <c r="AH185" s="17" t="n"/>
      <c r="AI185" s="17" t="n"/>
      <c r="AJ185" s="17" t="n"/>
      <c r="AK185" s="17" t="n"/>
      <c r="AL185" s="22">
        <f>IF($A185="","",IF(OR(AM185="移管",AN185="移管"),"移管",IF(OR(AM185="一部",AN185="一部"),"一部",IF(OR(AM185="判定保留",AN185="判定保留"),"判定保留",IF(OR(AM185="留保",AN185="留保"),"留保","対象外")))))</f>
        <v/>
      </c>
      <c r="AM185" s="22">
        <f>IF($A185="","",IF(AU185=0,"対象外",IF(AV185=AU185,"移管",IF(AV185+AW185&gt;0,"一部",IF(AX185&gt;0,"判定保留",IF(AY185&gt;0,"留保","対象外"))))))</f>
        <v/>
      </c>
      <c r="AN185" s="22">
        <f>IF($A185="","",IF((AO185+AS185+AT185)=0,"対象外",IF(AP185=(AO185+AS185+AT185),"移管",IF(AP185&gt;0,"一部",IF(AR185+AT185&gt;0,"判定保留",IF(AQ185+AS185&gt;0,"留保","対象外"))))))</f>
        <v/>
      </c>
      <c r="AO185" s="22">
        <f>IF($A185="","",SUMPRODUCT((COUNTIFS('紐付け'!$A$4:$A$200,$A185,'紐付け'!$C$4:$C$200,'業務'!$C$4:$C$200)&gt;0)*('業務'!$A$4:$A$200&lt;&gt;"")))</f>
        <v/>
      </c>
      <c r="AP185" s="22">
        <f>IF($A185="","",SUMPRODUCT((COUNTIFS('紐付け'!$A$4:$A$200,$A185,'紐付け'!$C$4:$C$200,'業務'!$C$4:$C$200)&gt;0)*('業務'!$A$4:$A$200&lt;&gt;"")*('業務'!$P$4:$P$200="移管")))</f>
        <v/>
      </c>
      <c r="AQ185" s="22">
        <f>IF($A185="","",SUMPRODUCT((COUNTIFS('紐付け'!$A$4:$A$200,$A185,'紐付け'!$C$4:$C$200,'業務'!$C$4:$C$200)&gt;0)*('業務'!$A$4:$A$200&lt;&gt;"")*('業務'!$P$4:$P$200="留保")))</f>
        <v/>
      </c>
      <c r="AR185" s="22">
        <f>IF($A185="","",AO185-AP185-AQ185)</f>
        <v/>
      </c>
      <c r="AS185" s="22">
        <f>IF($A185="","",SUMPRODUCT(('紐付け'!$A$4:$A$200=$A185)*('紐付け'!$C$4:$C$200&lt;&gt;"")*(COUNTIF('業務'!$C$4:$C$200,'紐付け'!$C$4:$C$200)=0)*(COUNTIFS('システム'!$A$4:$A$200,'紐付け'!$C$4:$C$200,'システム'!$N$4:$N$200,"留保")&gt;0)))</f>
        <v/>
      </c>
      <c r="AT185" s="22">
        <f>IF($A185="","",SUMPRODUCT(('紐付け'!$A$4:$A$200=$A185)*('紐付け'!$C$4:$C$200&lt;&gt;"")*(COUNTIF('業務'!$C$4:$C$200,'紐付け'!$C$4:$C$200)=0))-AS185)</f>
        <v/>
      </c>
      <c r="AU185" s="22">
        <f>IF($A185="","",COUNTIF('契約'!$C$4:$C$200,$A185))</f>
        <v/>
      </c>
      <c r="AV185" s="22">
        <f>IF($A185="","",COUNTIFS('契約'!$C$4:$C$200,$A185,'契約'!$O$4:$O$200,"移管"))</f>
        <v/>
      </c>
      <c r="AW185" s="22">
        <f>IF($A185="","",COUNTIFS('契約'!$C$4:$C$200,$A185,'契約'!$O$4:$O$200,"一部"))</f>
        <v/>
      </c>
      <c r="AX185" s="22">
        <f>IF($A185="","",COUNTIFS('契約'!$C$4:$C$200,$A185,'契約'!$O$4:$O$200,"判定保留"))</f>
        <v/>
      </c>
      <c r="AY185" s="22">
        <f>IF($A185="","",COUNTIFS('契約'!$C$4:$C$200,$A185,'契約'!$O$4:$O$200,"留保"))</f>
        <v/>
      </c>
    </row>
    <row r="186">
      <c r="A186" s="17" t="n"/>
      <c r="B186" s="17" t="n"/>
      <c r="C186" s="17" t="n"/>
      <c r="D186" s="17" t="n"/>
      <c r="E186" s="17" t="n"/>
      <c r="F186" s="17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9">
        <f>IF(COUNT(G186:R186)=0,"",SUM(G186:R186))</f>
        <v/>
      </c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9">
        <f>IF(COUNT(T186:AE186)=0,"",SUM(T186:AE186))</f>
        <v/>
      </c>
      <c r="AG186" s="17" t="n"/>
      <c r="AH186" s="17" t="n"/>
      <c r="AI186" s="17" t="n"/>
      <c r="AJ186" s="17" t="n"/>
      <c r="AK186" s="17" t="n"/>
      <c r="AL186" s="22">
        <f>IF($A186="","",IF(OR(AM186="移管",AN186="移管"),"移管",IF(OR(AM186="一部",AN186="一部"),"一部",IF(OR(AM186="判定保留",AN186="判定保留"),"判定保留",IF(OR(AM186="留保",AN186="留保"),"留保","対象外")))))</f>
        <v/>
      </c>
      <c r="AM186" s="22">
        <f>IF($A186="","",IF(AU186=0,"対象外",IF(AV186=AU186,"移管",IF(AV186+AW186&gt;0,"一部",IF(AX186&gt;0,"判定保留",IF(AY186&gt;0,"留保","対象外"))))))</f>
        <v/>
      </c>
      <c r="AN186" s="22">
        <f>IF($A186="","",IF((AO186+AS186+AT186)=0,"対象外",IF(AP186=(AO186+AS186+AT186),"移管",IF(AP186&gt;0,"一部",IF(AR186+AT186&gt;0,"判定保留",IF(AQ186+AS186&gt;0,"留保","対象外"))))))</f>
        <v/>
      </c>
      <c r="AO186" s="22">
        <f>IF($A186="","",SUMPRODUCT((COUNTIFS('紐付け'!$A$4:$A$200,$A186,'紐付け'!$C$4:$C$200,'業務'!$C$4:$C$200)&gt;0)*('業務'!$A$4:$A$200&lt;&gt;"")))</f>
        <v/>
      </c>
      <c r="AP186" s="22">
        <f>IF($A186="","",SUMPRODUCT((COUNTIFS('紐付け'!$A$4:$A$200,$A186,'紐付け'!$C$4:$C$200,'業務'!$C$4:$C$200)&gt;0)*('業務'!$A$4:$A$200&lt;&gt;"")*('業務'!$P$4:$P$200="移管")))</f>
        <v/>
      </c>
      <c r="AQ186" s="22">
        <f>IF($A186="","",SUMPRODUCT((COUNTIFS('紐付け'!$A$4:$A$200,$A186,'紐付け'!$C$4:$C$200,'業務'!$C$4:$C$200)&gt;0)*('業務'!$A$4:$A$200&lt;&gt;"")*('業務'!$P$4:$P$200="留保")))</f>
        <v/>
      </c>
      <c r="AR186" s="22">
        <f>IF($A186="","",AO186-AP186-AQ186)</f>
        <v/>
      </c>
      <c r="AS186" s="22">
        <f>IF($A186="","",SUMPRODUCT(('紐付け'!$A$4:$A$200=$A186)*('紐付け'!$C$4:$C$200&lt;&gt;"")*(COUNTIF('業務'!$C$4:$C$200,'紐付け'!$C$4:$C$200)=0)*(COUNTIFS('システム'!$A$4:$A$200,'紐付け'!$C$4:$C$200,'システム'!$N$4:$N$200,"留保")&gt;0)))</f>
        <v/>
      </c>
      <c r="AT186" s="22">
        <f>IF($A186="","",SUMPRODUCT(('紐付け'!$A$4:$A$200=$A186)*('紐付け'!$C$4:$C$200&lt;&gt;"")*(COUNTIF('業務'!$C$4:$C$200,'紐付け'!$C$4:$C$200)=0))-AS186)</f>
        <v/>
      </c>
      <c r="AU186" s="22">
        <f>IF($A186="","",COUNTIF('契約'!$C$4:$C$200,$A186))</f>
        <v/>
      </c>
      <c r="AV186" s="22">
        <f>IF($A186="","",COUNTIFS('契約'!$C$4:$C$200,$A186,'契約'!$O$4:$O$200,"移管"))</f>
        <v/>
      </c>
      <c r="AW186" s="22">
        <f>IF($A186="","",COUNTIFS('契約'!$C$4:$C$200,$A186,'契約'!$O$4:$O$200,"一部"))</f>
        <v/>
      </c>
      <c r="AX186" s="22">
        <f>IF($A186="","",COUNTIFS('契約'!$C$4:$C$200,$A186,'契約'!$O$4:$O$200,"判定保留"))</f>
        <v/>
      </c>
      <c r="AY186" s="22">
        <f>IF($A186="","",COUNTIFS('契約'!$C$4:$C$200,$A186,'契約'!$O$4:$O$200,"留保"))</f>
        <v/>
      </c>
    </row>
    <row r="187">
      <c r="A187" s="17" t="n"/>
      <c r="B187" s="17" t="n"/>
      <c r="C187" s="17" t="n"/>
      <c r="D187" s="17" t="n"/>
      <c r="E187" s="17" t="n"/>
      <c r="F187" s="17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9">
        <f>IF(COUNT(G187:R187)=0,"",SUM(G187:R187))</f>
        <v/>
      </c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9">
        <f>IF(COUNT(T187:AE187)=0,"",SUM(T187:AE187))</f>
        <v/>
      </c>
      <c r="AG187" s="17" t="n"/>
      <c r="AH187" s="17" t="n"/>
      <c r="AI187" s="17" t="n"/>
      <c r="AJ187" s="17" t="n"/>
      <c r="AK187" s="17" t="n"/>
      <c r="AL187" s="22">
        <f>IF($A187="","",IF(OR(AM187="移管",AN187="移管"),"移管",IF(OR(AM187="一部",AN187="一部"),"一部",IF(OR(AM187="判定保留",AN187="判定保留"),"判定保留",IF(OR(AM187="留保",AN187="留保"),"留保","対象外")))))</f>
        <v/>
      </c>
      <c r="AM187" s="22">
        <f>IF($A187="","",IF(AU187=0,"対象外",IF(AV187=AU187,"移管",IF(AV187+AW187&gt;0,"一部",IF(AX187&gt;0,"判定保留",IF(AY187&gt;0,"留保","対象外"))))))</f>
        <v/>
      </c>
      <c r="AN187" s="22">
        <f>IF($A187="","",IF((AO187+AS187+AT187)=0,"対象外",IF(AP187=(AO187+AS187+AT187),"移管",IF(AP187&gt;0,"一部",IF(AR187+AT187&gt;0,"判定保留",IF(AQ187+AS187&gt;0,"留保","対象外"))))))</f>
        <v/>
      </c>
      <c r="AO187" s="22">
        <f>IF($A187="","",SUMPRODUCT((COUNTIFS('紐付け'!$A$4:$A$200,$A187,'紐付け'!$C$4:$C$200,'業務'!$C$4:$C$200)&gt;0)*('業務'!$A$4:$A$200&lt;&gt;"")))</f>
        <v/>
      </c>
      <c r="AP187" s="22">
        <f>IF($A187="","",SUMPRODUCT((COUNTIFS('紐付け'!$A$4:$A$200,$A187,'紐付け'!$C$4:$C$200,'業務'!$C$4:$C$200)&gt;0)*('業務'!$A$4:$A$200&lt;&gt;"")*('業務'!$P$4:$P$200="移管")))</f>
        <v/>
      </c>
      <c r="AQ187" s="22">
        <f>IF($A187="","",SUMPRODUCT((COUNTIFS('紐付け'!$A$4:$A$200,$A187,'紐付け'!$C$4:$C$200,'業務'!$C$4:$C$200)&gt;0)*('業務'!$A$4:$A$200&lt;&gt;"")*('業務'!$P$4:$P$200="留保")))</f>
        <v/>
      </c>
      <c r="AR187" s="22">
        <f>IF($A187="","",AO187-AP187-AQ187)</f>
        <v/>
      </c>
      <c r="AS187" s="22">
        <f>IF($A187="","",SUMPRODUCT(('紐付け'!$A$4:$A$200=$A187)*('紐付け'!$C$4:$C$200&lt;&gt;"")*(COUNTIF('業務'!$C$4:$C$200,'紐付け'!$C$4:$C$200)=0)*(COUNTIFS('システム'!$A$4:$A$200,'紐付け'!$C$4:$C$200,'システム'!$N$4:$N$200,"留保")&gt;0)))</f>
        <v/>
      </c>
      <c r="AT187" s="22">
        <f>IF($A187="","",SUMPRODUCT(('紐付け'!$A$4:$A$200=$A187)*('紐付け'!$C$4:$C$200&lt;&gt;"")*(COUNTIF('業務'!$C$4:$C$200,'紐付け'!$C$4:$C$200)=0))-AS187)</f>
        <v/>
      </c>
      <c r="AU187" s="22">
        <f>IF($A187="","",COUNTIF('契約'!$C$4:$C$200,$A187))</f>
        <v/>
      </c>
      <c r="AV187" s="22">
        <f>IF($A187="","",COUNTIFS('契約'!$C$4:$C$200,$A187,'契約'!$O$4:$O$200,"移管"))</f>
        <v/>
      </c>
      <c r="AW187" s="22">
        <f>IF($A187="","",COUNTIFS('契約'!$C$4:$C$200,$A187,'契約'!$O$4:$O$200,"一部"))</f>
        <v/>
      </c>
      <c r="AX187" s="22">
        <f>IF($A187="","",COUNTIFS('契約'!$C$4:$C$200,$A187,'契約'!$O$4:$O$200,"判定保留"))</f>
        <v/>
      </c>
      <c r="AY187" s="22">
        <f>IF($A187="","",COUNTIFS('契約'!$C$4:$C$200,$A187,'契約'!$O$4:$O$200,"留保"))</f>
        <v/>
      </c>
    </row>
    <row r="188">
      <c r="A188" s="17" t="n"/>
      <c r="B188" s="17" t="n"/>
      <c r="C188" s="17" t="n"/>
      <c r="D188" s="17" t="n"/>
      <c r="E188" s="17" t="n"/>
      <c r="F188" s="17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9">
        <f>IF(COUNT(G188:R188)=0,"",SUM(G188:R188))</f>
        <v/>
      </c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9">
        <f>IF(COUNT(T188:AE188)=0,"",SUM(T188:AE188))</f>
        <v/>
      </c>
      <c r="AG188" s="17" t="n"/>
      <c r="AH188" s="17" t="n"/>
      <c r="AI188" s="17" t="n"/>
      <c r="AJ188" s="17" t="n"/>
      <c r="AK188" s="17" t="n"/>
      <c r="AL188" s="22">
        <f>IF($A188="","",IF(OR(AM188="移管",AN188="移管"),"移管",IF(OR(AM188="一部",AN188="一部"),"一部",IF(OR(AM188="判定保留",AN188="判定保留"),"判定保留",IF(OR(AM188="留保",AN188="留保"),"留保","対象外")))))</f>
        <v/>
      </c>
      <c r="AM188" s="22">
        <f>IF($A188="","",IF(AU188=0,"対象外",IF(AV188=AU188,"移管",IF(AV188+AW188&gt;0,"一部",IF(AX188&gt;0,"判定保留",IF(AY188&gt;0,"留保","対象外"))))))</f>
        <v/>
      </c>
      <c r="AN188" s="22">
        <f>IF($A188="","",IF((AO188+AS188+AT188)=0,"対象外",IF(AP188=(AO188+AS188+AT188),"移管",IF(AP188&gt;0,"一部",IF(AR188+AT188&gt;0,"判定保留",IF(AQ188+AS188&gt;0,"留保","対象外"))))))</f>
        <v/>
      </c>
      <c r="AO188" s="22">
        <f>IF($A188="","",SUMPRODUCT((COUNTIFS('紐付け'!$A$4:$A$200,$A188,'紐付け'!$C$4:$C$200,'業務'!$C$4:$C$200)&gt;0)*('業務'!$A$4:$A$200&lt;&gt;"")))</f>
        <v/>
      </c>
      <c r="AP188" s="22">
        <f>IF($A188="","",SUMPRODUCT((COUNTIFS('紐付け'!$A$4:$A$200,$A188,'紐付け'!$C$4:$C$200,'業務'!$C$4:$C$200)&gt;0)*('業務'!$A$4:$A$200&lt;&gt;"")*('業務'!$P$4:$P$200="移管")))</f>
        <v/>
      </c>
      <c r="AQ188" s="22">
        <f>IF($A188="","",SUMPRODUCT((COUNTIFS('紐付け'!$A$4:$A$200,$A188,'紐付け'!$C$4:$C$200,'業務'!$C$4:$C$200)&gt;0)*('業務'!$A$4:$A$200&lt;&gt;"")*('業務'!$P$4:$P$200="留保")))</f>
        <v/>
      </c>
      <c r="AR188" s="22">
        <f>IF($A188="","",AO188-AP188-AQ188)</f>
        <v/>
      </c>
      <c r="AS188" s="22">
        <f>IF($A188="","",SUMPRODUCT(('紐付け'!$A$4:$A$200=$A188)*('紐付け'!$C$4:$C$200&lt;&gt;"")*(COUNTIF('業務'!$C$4:$C$200,'紐付け'!$C$4:$C$200)=0)*(COUNTIFS('システム'!$A$4:$A$200,'紐付け'!$C$4:$C$200,'システム'!$N$4:$N$200,"留保")&gt;0)))</f>
        <v/>
      </c>
      <c r="AT188" s="22">
        <f>IF($A188="","",SUMPRODUCT(('紐付け'!$A$4:$A$200=$A188)*('紐付け'!$C$4:$C$200&lt;&gt;"")*(COUNTIF('業務'!$C$4:$C$200,'紐付け'!$C$4:$C$200)=0))-AS188)</f>
        <v/>
      </c>
      <c r="AU188" s="22">
        <f>IF($A188="","",COUNTIF('契約'!$C$4:$C$200,$A188))</f>
        <v/>
      </c>
      <c r="AV188" s="22">
        <f>IF($A188="","",COUNTIFS('契約'!$C$4:$C$200,$A188,'契約'!$O$4:$O$200,"移管"))</f>
        <v/>
      </c>
      <c r="AW188" s="22">
        <f>IF($A188="","",COUNTIFS('契約'!$C$4:$C$200,$A188,'契約'!$O$4:$O$200,"一部"))</f>
        <v/>
      </c>
      <c r="AX188" s="22">
        <f>IF($A188="","",COUNTIFS('契約'!$C$4:$C$200,$A188,'契約'!$O$4:$O$200,"判定保留"))</f>
        <v/>
      </c>
      <c r="AY188" s="22">
        <f>IF($A188="","",COUNTIFS('契約'!$C$4:$C$200,$A188,'契約'!$O$4:$O$200,"留保"))</f>
        <v/>
      </c>
    </row>
    <row r="189">
      <c r="A189" s="17" t="n"/>
      <c r="B189" s="17" t="n"/>
      <c r="C189" s="17" t="n"/>
      <c r="D189" s="17" t="n"/>
      <c r="E189" s="17" t="n"/>
      <c r="F189" s="17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9">
        <f>IF(COUNT(G189:R189)=0,"",SUM(G189:R189))</f>
        <v/>
      </c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9">
        <f>IF(COUNT(T189:AE189)=0,"",SUM(T189:AE189))</f>
        <v/>
      </c>
      <c r="AG189" s="17" t="n"/>
      <c r="AH189" s="17" t="n"/>
      <c r="AI189" s="17" t="n"/>
      <c r="AJ189" s="17" t="n"/>
      <c r="AK189" s="17" t="n"/>
      <c r="AL189" s="22">
        <f>IF($A189="","",IF(OR(AM189="移管",AN189="移管"),"移管",IF(OR(AM189="一部",AN189="一部"),"一部",IF(OR(AM189="判定保留",AN189="判定保留"),"判定保留",IF(OR(AM189="留保",AN189="留保"),"留保","対象外")))))</f>
        <v/>
      </c>
      <c r="AM189" s="22">
        <f>IF($A189="","",IF(AU189=0,"対象外",IF(AV189=AU189,"移管",IF(AV189+AW189&gt;0,"一部",IF(AX189&gt;0,"判定保留",IF(AY189&gt;0,"留保","対象外"))))))</f>
        <v/>
      </c>
      <c r="AN189" s="22">
        <f>IF($A189="","",IF((AO189+AS189+AT189)=0,"対象外",IF(AP189=(AO189+AS189+AT189),"移管",IF(AP189&gt;0,"一部",IF(AR189+AT189&gt;0,"判定保留",IF(AQ189+AS189&gt;0,"留保","対象外"))))))</f>
        <v/>
      </c>
      <c r="AO189" s="22">
        <f>IF($A189="","",SUMPRODUCT((COUNTIFS('紐付け'!$A$4:$A$200,$A189,'紐付け'!$C$4:$C$200,'業務'!$C$4:$C$200)&gt;0)*('業務'!$A$4:$A$200&lt;&gt;"")))</f>
        <v/>
      </c>
      <c r="AP189" s="22">
        <f>IF($A189="","",SUMPRODUCT((COUNTIFS('紐付け'!$A$4:$A$200,$A189,'紐付け'!$C$4:$C$200,'業務'!$C$4:$C$200)&gt;0)*('業務'!$A$4:$A$200&lt;&gt;"")*('業務'!$P$4:$P$200="移管")))</f>
        <v/>
      </c>
      <c r="AQ189" s="22">
        <f>IF($A189="","",SUMPRODUCT((COUNTIFS('紐付け'!$A$4:$A$200,$A189,'紐付け'!$C$4:$C$200,'業務'!$C$4:$C$200)&gt;0)*('業務'!$A$4:$A$200&lt;&gt;"")*('業務'!$P$4:$P$200="留保")))</f>
        <v/>
      </c>
      <c r="AR189" s="22">
        <f>IF($A189="","",AO189-AP189-AQ189)</f>
        <v/>
      </c>
      <c r="AS189" s="22">
        <f>IF($A189="","",SUMPRODUCT(('紐付け'!$A$4:$A$200=$A189)*('紐付け'!$C$4:$C$200&lt;&gt;"")*(COUNTIF('業務'!$C$4:$C$200,'紐付け'!$C$4:$C$200)=0)*(COUNTIFS('システム'!$A$4:$A$200,'紐付け'!$C$4:$C$200,'システム'!$N$4:$N$200,"留保")&gt;0)))</f>
        <v/>
      </c>
      <c r="AT189" s="22">
        <f>IF($A189="","",SUMPRODUCT(('紐付け'!$A$4:$A$200=$A189)*('紐付け'!$C$4:$C$200&lt;&gt;"")*(COUNTIF('業務'!$C$4:$C$200,'紐付け'!$C$4:$C$200)=0))-AS189)</f>
        <v/>
      </c>
      <c r="AU189" s="22">
        <f>IF($A189="","",COUNTIF('契約'!$C$4:$C$200,$A189))</f>
        <v/>
      </c>
      <c r="AV189" s="22">
        <f>IF($A189="","",COUNTIFS('契約'!$C$4:$C$200,$A189,'契約'!$O$4:$O$200,"移管"))</f>
        <v/>
      </c>
      <c r="AW189" s="22">
        <f>IF($A189="","",COUNTIFS('契約'!$C$4:$C$200,$A189,'契約'!$O$4:$O$200,"一部"))</f>
        <v/>
      </c>
      <c r="AX189" s="22">
        <f>IF($A189="","",COUNTIFS('契約'!$C$4:$C$200,$A189,'契約'!$O$4:$O$200,"判定保留"))</f>
        <v/>
      </c>
      <c r="AY189" s="22">
        <f>IF($A189="","",COUNTIFS('契約'!$C$4:$C$200,$A189,'契約'!$O$4:$O$200,"留保"))</f>
        <v/>
      </c>
    </row>
    <row r="190">
      <c r="A190" s="17" t="n"/>
      <c r="B190" s="17" t="n"/>
      <c r="C190" s="17" t="n"/>
      <c r="D190" s="17" t="n"/>
      <c r="E190" s="17" t="n"/>
      <c r="F190" s="17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9">
        <f>IF(COUNT(G190:R190)=0,"",SUM(G190:R190))</f>
        <v/>
      </c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9">
        <f>IF(COUNT(T190:AE190)=0,"",SUM(T190:AE190))</f>
        <v/>
      </c>
      <c r="AG190" s="17" t="n"/>
      <c r="AH190" s="17" t="n"/>
      <c r="AI190" s="17" t="n"/>
      <c r="AJ190" s="17" t="n"/>
      <c r="AK190" s="17" t="n"/>
      <c r="AL190" s="22">
        <f>IF($A190="","",IF(OR(AM190="移管",AN190="移管"),"移管",IF(OR(AM190="一部",AN190="一部"),"一部",IF(OR(AM190="判定保留",AN190="判定保留"),"判定保留",IF(OR(AM190="留保",AN190="留保"),"留保","対象外")))))</f>
        <v/>
      </c>
      <c r="AM190" s="22">
        <f>IF($A190="","",IF(AU190=0,"対象外",IF(AV190=AU190,"移管",IF(AV190+AW190&gt;0,"一部",IF(AX190&gt;0,"判定保留",IF(AY190&gt;0,"留保","対象外"))))))</f>
        <v/>
      </c>
      <c r="AN190" s="22">
        <f>IF($A190="","",IF((AO190+AS190+AT190)=0,"対象外",IF(AP190=(AO190+AS190+AT190),"移管",IF(AP190&gt;0,"一部",IF(AR190+AT190&gt;0,"判定保留",IF(AQ190+AS190&gt;0,"留保","対象外"))))))</f>
        <v/>
      </c>
      <c r="AO190" s="22">
        <f>IF($A190="","",SUMPRODUCT((COUNTIFS('紐付け'!$A$4:$A$200,$A190,'紐付け'!$C$4:$C$200,'業務'!$C$4:$C$200)&gt;0)*('業務'!$A$4:$A$200&lt;&gt;"")))</f>
        <v/>
      </c>
      <c r="AP190" s="22">
        <f>IF($A190="","",SUMPRODUCT((COUNTIFS('紐付け'!$A$4:$A$200,$A190,'紐付け'!$C$4:$C$200,'業務'!$C$4:$C$200)&gt;0)*('業務'!$A$4:$A$200&lt;&gt;"")*('業務'!$P$4:$P$200="移管")))</f>
        <v/>
      </c>
      <c r="AQ190" s="22">
        <f>IF($A190="","",SUMPRODUCT((COUNTIFS('紐付け'!$A$4:$A$200,$A190,'紐付け'!$C$4:$C$200,'業務'!$C$4:$C$200)&gt;0)*('業務'!$A$4:$A$200&lt;&gt;"")*('業務'!$P$4:$P$200="留保")))</f>
        <v/>
      </c>
      <c r="AR190" s="22">
        <f>IF($A190="","",AO190-AP190-AQ190)</f>
        <v/>
      </c>
      <c r="AS190" s="22">
        <f>IF($A190="","",SUMPRODUCT(('紐付け'!$A$4:$A$200=$A190)*('紐付け'!$C$4:$C$200&lt;&gt;"")*(COUNTIF('業務'!$C$4:$C$200,'紐付け'!$C$4:$C$200)=0)*(COUNTIFS('システム'!$A$4:$A$200,'紐付け'!$C$4:$C$200,'システム'!$N$4:$N$200,"留保")&gt;0)))</f>
        <v/>
      </c>
      <c r="AT190" s="22">
        <f>IF($A190="","",SUMPRODUCT(('紐付け'!$A$4:$A$200=$A190)*('紐付け'!$C$4:$C$200&lt;&gt;"")*(COUNTIF('業務'!$C$4:$C$200,'紐付け'!$C$4:$C$200)=0))-AS190)</f>
        <v/>
      </c>
      <c r="AU190" s="22">
        <f>IF($A190="","",COUNTIF('契約'!$C$4:$C$200,$A190))</f>
        <v/>
      </c>
      <c r="AV190" s="22">
        <f>IF($A190="","",COUNTIFS('契約'!$C$4:$C$200,$A190,'契約'!$O$4:$O$200,"移管"))</f>
        <v/>
      </c>
      <c r="AW190" s="22">
        <f>IF($A190="","",COUNTIFS('契約'!$C$4:$C$200,$A190,'契約'!$O$4:$O$200,"一部"))</f>
        <v/>
      </c>
      <c r="AX190" s="22">
        <f>IF($A190="","",COUNTIFS('契約'!$C$4:$C$200,$A190,'契約'!$O$4:$O$200,"判定保留"))</f>
        <v/>
      </c>
      <c r="AY190" s="22">
        <f>IF($A190="","",COUNTIFS('契約'!$C$4:$C$200,$A190,'契約'!$O$4:$O$200,"留保"))</f>
        <v/>
      </c>
    </row>
    <row r="191">
      <c r="A191" s="17" t="n"/>
      <c r="B191" s="17" t="n"/>
      <c r="C191" s="17" t="n"/>
      <c r="D191" s="17" t="n"/>
      <c r="E191" s="17" t="n"/>
      <c r="F191" s="17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9">
        <f>IF(COUNT(G191:R191)=0,"",SUM(G191:R191))</f>
        <v/>
      </c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9">
        <f>IF(COUNT(T191:AE191)=0,"",SUM(T191:AE191))</f>
        <v/>
      </c>
      <c r="AG191" s="17" t="n"/>
      <c r="AH191" s="17" t="n"/>
      <c r="AI191" s="17" t="n"/>
      <c r="AJ191" s="17" t="n"/>
      <c r="AK191" s="17" t="n"/>
      <c r="AL191" s="22">
        <f>IF($A191="","",IF(OR(AM191="移管",AN191="移管"),"移管",IF(OR(AM191="一部",AN191="一部"),"一部",IF(OR(AM191="判定保留",AN191="判定保留"),"判定保留",IF(OR(AM191="留保",AN191="留保"),"留保","対象外")))))</f>
        <v/>
      </c>
      <c r="AM191" s="22">
        <f>IF($A191="","",IF(AU191=0,"対象外",IF(AV191=AU191,"移管",IF(AV191+AW191&gt;0,"一部",IF(AX191&gt;0,"判定保留",IF(AY191&gt;0,"留保","対象外"))))))</f>
        <v/>
      </c>
      <c r="AN191" s="22">
        <f>IF($A191="","",IF((AO191+AS191+AT191)=0,"対象外",IF(AP191=(AO191+AS191+AT191),"移管",IF(AP191&gt;0,"一部",IF(AR191+AT191&gt;0,"判定保留",IF(AQ191+AS191&gt;0,"留保","対象外"))))))</f>
        <v/>
      </c>
      <c r="AO191" s="22">
        <f>IF($A191="","",SUMPRODUCT((COUNTIFS('紐付け'!$A$4:$A$200,$A191,'紐付け'!$C$4:$C$200,'業務'!$C$4:$C$200)&gt;0)*('業務'!$A$4:$A$200&lt;&gt;"")))</f>
        <v/>
      </c>
      <c r="AP191" s="22">
        <f>IF($A191="","",SUMPRODUCT((COUNTIFS('紐付け'!$A$4:$A$200,$A191,'紐付け'!$C$4:$C$200,'業務'!$C$4:$C$200)&gt;0)*('業務'!$A$4:$A$200&lt;&gt;"")*('業務'!$P$4:$P$200="移管")))</f>
        <v/>
      </c>
      <c r="AQ191" s="22">
        <f>IF($A191="","",SUMPRODUCT((COUNTIFS('紐付け'!$A$4:$A$200,$A191,'紐付け'!$C$4:$C$200,'業務'!$C$4:$C$200)&gt;0)*('業務'!$A$4:$A$200&lt;&gt;"")*('業務'!$P$4:$P$200="留保")))</f>
        <v/>
      </c>
      <c r="AR191" s="22">
        <f>IF($A191="","",AO191-AP191-AQ191)</f>
        <v/>
      </c>
      <c r="AS191" s="22">
        <f>IF($A191="","",SUMPRODUCT(('紐付け'!$A$4:$A$200=$A191)*('紐付け'!$C$4:$C$200&lt;&gt;"")*(COUNTIF('業務'!$C$4:$C$200,'紐付け'!$C$4:$C$200)=0)*(COUNTIFS('システム'!$A$4:$A$200,'紐付け'!$C$4:$C$200,'システム'!$N$4:$N$200,"留保")&gt;0)))</f>
        <v/>
      </c>
      <c r="AT191" s="22">
        <f>IF($A191="","",SUMPRODUCT(('紐付け'!$A$4:$A$200=$A191)*('紐付け'!$C$4:$C$200&lt;&gt;"")*(COUNTIF('業務'!$C$4:$C$200,'紐付け'!$C$4:$C$200)=0))-AS191)</f>
        <v/>
      </c>
      <c r="AU191" s="22">
        <f>IF($A191="","",COUNTIF('契約'!$C$4:$C$200,$A191))</f>
        <v/>
      </c>
      <c r="AV191" s="22">
        <f>IF($A191="","",COUNTIFS('契約'!$C$4:$C$200,$A191,'契約'!$O$4:$O$200,"移管"))</f>
        <v/>
      </c>
      <c r="AW191" s="22">
        <f>IF($A191="","",COUNTIFS('契約'!$C$4:$C$200,$A191,'契約'!$O$4:$O$200,"一部"))</f>
        <v/>
      </c>
      <c r="AX191" s="22">
        <f>IF($A191="","",COUNTIFS('契約'!$C$4:$C$200,$A191,'契約'!$O$4:$O$200,"判定保留"))</f>
        <v/>
      </c>
      <c r="AY191" s="22">
        <f>IF($A191="","",COUNTIFS('契約'!$C$4:$C$200,$A191,'契約'!$O$4:$O$200,"留保"))</f>
        <v/>
      </c>
    </row>
    <row r="192">
      <c r="A192" s="17" t="n"/>
      <c r="B192" s="17" t="n"/>
      <c r="C192" s="17" t="n"/>
      <c r="D192" s="17" t="n"/>
      <c r="E192" s="17" t="n"/>
      <c r="F192" s="17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9">
        <f>IF(COUNT(G192:R192)=0,"",SUM(G192:R192))</f>
        <v/>
      </c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9">
        <f>IF(COUNT(T192:AE192)=0,"",SUM(T192:AE192))</f>
        <v/>
      </c>
      <c r="AG192" s="17" t="n"/>
      <c r="AH192" s="17" t="n"/>
      <c r="AI192" s="17" t="n"/>
      <c r="AJ192" s="17" t="n"/>
      <c r="AK192" s="17" t="n"/>
      <c r="AL192" s="22">
        <f>IF($A192="","",IF(OR(AM192="移管",AN192="移管"),"移管",IF(OR(AM192="一部",AN192="一部"),"一部",IF(OR(AM192="判定保留",AN192="判定保留"),"判定保留",IF(OR(AM192="留保",AN192="留保"),"留保","対象外")))))</f>
        <v/>
      </c>
      <c r="AM192" s="22">
        <f>IF($A192="","",IF(AU192=0,"対象外",IF(AV192=AU192,"移管",IF(AV192+AW192&gt;0,"一部",IF(AX192&gt;0,"判定保留",IF(AY192&gt;0,"留保","対象外"))))))</f>
        <v/>
      </c>
      <c r="AN192" s="22">
        <f>IF($A192="","",IF((AO192+AS192+AT192)=0,"対象外",IF(AP192=(AO192+AS192+AT192),"移管",IF(AP192&gt;0,"一部",IF(AR192+AT192&gt;0,"判定保留",IF(AQ192+AS192&gt;0,"留保","対象外"))))))</f>
        <v/>
      </c>
      <c r="AO192" s="22">
        <f>IF($A192="","",SUMPRODUCT((COUNTIFS('紐付け'!$A$4:$A$200,$A192,'紐付け'!$C$4:$C$200,'業務'!$C$4:$C$200)&gt;0)*('業務'!$A$4:$A$200&lt;&gt;"")))</f>
        <v/>
      </c>
      <c r="AP192" s="22">
        <f>IF($A192="","",SUMPRODUCT((COUNTIFS('紐付け'!$A$4:$A$200,$A192,'紐付け'!$C$4:$C$200,'業務'!$C$4:$C$200)&gt;0)*('業務'!$A$4:$A$200&lt;&gt;"")*('業務'!$P$4:$P$200="移管")))</f>
        <v/>
      </c>
      <c r="AQ192" s="22">
        <f>IF($A192="","",SUMPRODUCT((COUNTIFS('紐付け'!$A$4:$A$200,$A192,'紐付け'!$C$4:$C$200,'業務'!$C$4:$C$200)&gt;0)*('業務'!$A$4:$A$200&lt;&gt;"")*('業務'!$P$4:$P$200="留保")))</f>
        <v/>
      </c>
      <c r="AR192" s="22">
        <f>IF($A192="","",AO192-AP192-AQ192)</f>
        <v/>
      </c>
      <c r="AS192" s="22">
        <f>IF($A192="","",SUMPRODUCT(('紐付け'!$A$4:$A$200=$A192)*('紐付け'!$C$4:$C$200&lt;&gt;"")*(COUNTIF('業務'!$C$4:$C$200,'紐付け'!$C$4:$C$200)=0)*(COUNTIFS('システム'!$A$4:$A$200,'紐付け'!$C$4:$C$200,'システム'!$N$4:$N$200,"留保")&gt;0)))</f>
        <v/>
      </c>
      <c r="AT192" s="22">
        <f>IF($A192="","",SUMPRODUCT(('紐付け'!$A$4:$A$200=$A192)*('紐付け'!$C$4:$C$200&lt;&gt;"")*(COUNTIF('業務'!$C$4:$C$200,'紐付け'!$C$4:$C$200)=0))-AS192)</f>
        <v/>
      </c>
      <c r="AU192" s="22">
        <f>IF($A192="","",COUNTIF('契約'!$C$4:$C$200,$A192))</f>
        <v/>
      </c>
      <c r="AV192" s="22">
        <f>IF($A192="","",COUNTIFS('契約'!$C$4:$C$200,$A192,'契約'!$O$4:$O$200,"移管"))</f>
        <v/>
      </c>
      <c r="AW192" s="22">
        <f>IF($A192="","",COUNTIFS('契約'!$C$4:$C$200,$A192,'契約'!$O$4:$O$200,"一部"))</f>
        <v/>
      </c>
      <c r="AX192" s="22">
        <f>IF($A192="","",COUNTIFS('契約'!$C$4:$C$200,$A192,'契約'!$O$4:$O$200,"判定保留"))</f>
        <v/>
      </c>
      <c r="AY192" s="22">
        <f>IF($A192="","",COUNTIFS('契約'!$C$4:$C$200,$A192,'契約'!$O$4:$O$200,"留保"))</f>
        <v/>
      </c>
    </row>
    <row r="193">
      <c r="A193" s="17" t="n"/>
      <c r="B193" s="17" t="n"/>
      <c r="C193" s="17" t="n"/>
      <c r="D193" s="17" t="n"/>
      <c r="E193" s="17" t="n"/>
      <c r="F193" s="17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9">
        <f>IF(COUNT(G193:R193)=0,"",SUM(G193:R193))</f>
        <v/>
      </c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9">
        <f>IF(COUNT(T193:AE193)=0,"",SUM(T193:AE193))</f>
        <v/>
      </c>
      <c r="AG193" s="17" t="n"/>
      <c r="AH193" s="17" t="n"/>
      <c r="AI193" s="17" t="n"/>
      <c r="AJ193" s="17" t="n"/>
      <c r="AK193" s="17" t="n"/>
      <c r="AL193" s="22">
        <f>IF($A193="","",IF(OR(AM193="移管",AN193="移管"),"移管",IF(OR(AM193="一部",AN193="一部"),"一部",IF(OR(AM193="判定保留",AN193="判定保留"),"判定保留",IF(OR(AM193="留保",AN193="留保"),"留保","対象外")))))</f>
        <v/>
      </c>
      <c r="AM193" s="22">
        <f>IF($A193="","",IF(AU193=0,"対象外",IF(AV193=AU193,"移管",IF(AV193+AW193&gt;0,"一部",IF(AX193&gt;0,"判定保留",IF(AY193&gt;0,"留保","対象外"))))))</f>
        <v/>
      </c>
      <c r="AN193" s="22">
        <f>IF($A193="","",IF((AO193+AS193+AT193)=0,"対象外",IF(AP193=(AO193+AS193+AT193),"移管",IF(AP193&gt;0,"一部",IF(AR193+AT193&gt;0,"判定保留",IF(AQ193+AS193&gt;0,"留保","対象外"))))))</f>
        <v/>
      </c>
      <c r="AO193" s="22">
        <f>IF($A193="","",SUMPRODUCT((COUNTIFS('紐付け'!$A$4:$A$200,$A193,'紐付け'!$C$4:$C$200,'業務'!$C$4:$C$200)&gt;0)*('業務'!$A$4:$A$200&lt;&gt;"")))</f>
        <v/>
      </c>
      <c r="AP193" s="22">
        <f>IF($A193="","",SUMPRODUCT((COUNTIFS('紐付け'!$A$4:$A$200,$A193,'紐付け'!$C$4:$C$200,'業務'!$C$4:$C$200)&gt;0)*('業務'!$A$4:$A$200&lt;&gt;"")*('業務'!$P$4:$P$200="移管")))</f>
        <v/>
      </c>
      <c r="AQ193" s="22">
        <f>IF($A193="","",SUMPRODUCT((COUNTIFS('紐付け'!$A$4:$A$200,$A193,'紐付け'!$C$4:$C$200,'業務'!$C$4:$C$200)&gt;0)*('業務'!$A$4:$A$200&lt;&gt;"")*('業務'!$P$4:$P$200="留保")))</f>
        <v/>
      </c>
      <c r="AR193" s="22">
        <f>IF($A193="","",AO193-AP193-AQ193)</f>
        <v/>
      </c>
      <c r="AS193" s="22">
        <f>IF($A193="","",SUMPRODUCT(('紐付け'!$A$4:$A$200=$A193)*('紐付け'!$C$4:$C$200&lt;&gt;"")*(COUNTIF('業務'!$C$4:$C$200,'紐付け'!$C$4:$C$200)=0)*(COUNTIFS('システム'!$A$4:$A$200,'紐付け'!$C$4:$C$200,'システム'!$N$4:$N$200,"留保")&gt;0)))</f>
        <v/>
      </c>
      <c r="AT193" s="22">
        <f>IF($A193="","",SUMPRODUCT(('紐付け'!$A$4:$A$200=$A193)*('紐付け'!$C$4:$C$200&lt;&gt;"")*(COUNTIF('業務'!$C$4:$C$200,'紐付け'!$C$4:$C$200)=0))-AS193)</f>
        <v/>
      </c>
      <c r="AU193" s="22">
        <f>IF($A193="","",COUNTIF('契約'!$C$4:$C$200,$A193))</f>
        <v/>
      </c>
      <c r="AV193" s="22">
        <f>IF($A193="","",COUNTIFS('契約'!$C$4:$C$200,$A193,'契約'!$O$4:$O$200,"移管"))</f>
        <v/>
      </c>
      <c r="AW193" s="22">
        <f>IF($A193="","",COUNTIFS('契約'!$C$4:$C$200,$A193,'契約'!$O$4:$O$200,"一部"))</f>
        <v/>
      </c>
      <c r="AX193" s="22">
        <f>IF($A193="","",COUNTIFS('契約'!$C$4:$C$200,$A193,'契約'!$O$4:$O$200,"判定保留"))</f>
        <v/>
      </c>
      <c r="AY193" s="22">
        <f>IF($A193="","",COUNTIFS('契約'!$C$4:$C$200,$A193,'契約'!$O$4:$O$200,"留保"))</f>
        <v/>
      </c>
    </row>
    <row r="194">
      <c r="A194" s="17" t="n"/>
      <c r="B194" s="17" t="n"/>
      <c r="C194" s="17" t="n"/>
      <c r="D194" s="17" t="n"/>
      <c r="E194" s="17" t="n"/>
      <c r="F194" s="17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9">
        <f>IF(COUNT(G194:R194)=0,"",SUM(G194:R194))</f>
        <v/>
      </c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9">
        <f>IF(COUNT(T194:AE194)=0,"",SUM(T194:AE194))</f>
        <v/>
      </c>
      <c r="AG194" s="17" t="n"/>
      <c r="AH194" s="17" t="n"/>
      <c r="AI194" s="17" t="n"/>
      <c r="AJ194" s="17" t="n"/>
      <c r="AK194" s="17" t="n"/>
      <c r="AL194" s="22">
        <f>IF($A194="","",IF(OR(AM194="移管",AN194="移管"),"移管",IF(OR(AM194="一部",AN194="一部"),"一部",IF(OR(AM194="判定保留",AN194="判定保留"),"判定保留",IF(OR(AM194="留保",AN194="留保"),"留保","対象外")))))</f>
        <v/>
      </c>
      <c r="AM194" s="22">
        <f>IF($A194="","",IF(AU194=0,"対象外",IF(AV194=AU194,"移管",IF(AV194+AW194&gt;0,"一部",IF(AX194&gt;0,"判定保留",IF(AY194&gt;0,"留保","対象外"))))))</f>
        <v/>
      </c>
      <c r="AN194" s="22">
        <f>IF($A194="","",IF((AO194+AS194+AT194)=0,"対象外",IF(AP194=(AO194+AS194+AT194),"移管",IF(AP194&gt;0,"一部",IF(AR194+AT194&gt;0,"判定保留",IF(AQ194+AS194&gt;0,"留保","対象外"))))))</f>
        <v/>
      </c>
      <c r="AO194" s="22">
        <f>IF($A194="","",SUMPRODUCT((COUNTIFS('紐付け'!$A$4:$A$200,$A194,'紐付け'!$C$4:$C$200,'業務'!$C$4:$C$200)&gt;0)*('業務'!$A$4:$A$200&lt;&gt;"")))</f>
        <v/>
      </c>
      <c r="AP194" s="22">
        <f>IF($A194="","",SUMPRODUCT((COUNTIFS('紐付け'!$A$4:$A$200,$A194,'紐付け'!$C$4:$C$200,'業務'!$C$4:$C$200)&gt;0)*('業務'!$A$4:$A$200&lt;&gt;"")*('業務'!$P$4:$P$200="移管")))</f>
        <v/>
      </c>
      <c r="AQ194" s="22">
        <f>IF($A194="","",SUMPRODUCT((COUNTIFS('紐付け'!$A$4:$A$200,$A194,'紐付け'!$C$4:$C$200,'業務'!$C$4:$C$200)&gt;0)*('業務'!$A$4:$A$200&lt;&gt;"")*('業務'!$P$4:$P$200="留保")))</f>
        <v/>
      </c>
      <c r="AR194" s="22">
        <f>IF($A194="","",AO194-AP194-AQ194)</f>
        <v/>
      </c>
      <c r="AS194" s="22">
        <f>IF($A194="","",SUMPRODUCT(('紐付け'!$A$4:$A$200=$A194)*('紐付け'!$C$4:$C$200&lt;&gt;"")*(COUNTIF('業務'!$C$4:$C$200,'紐付け'!$C$4:$C$200)=0)*(COUNTIFS('システム'!$A$4:$A$200,'紐付け'!$C$4:$C$200,'システム'!$N$4:$N$200,"留保")&gt;0)))</f>
        <v/>
      </c>
      <c r="AT194" s="22">
        <f>IF($A194="","",SUMPRODUCT(('紐付け'!$A$4:$A$200=$A194)*('紐付け'!$C$4:$C$200&lt;&gt;"")*(COUNTIF('業務'!$C$4:$C$200,'紐付け'!$C$4:$C$200)=0))-AS194)</f>
        <v/>
      </c>
      <c r="AU194" s="22">
        <f>IF($A194="","",COUNTIF('契約'!$C$4:$C$200,$A194))</f>
        <v/>
      </c>
      <c r="AV194" s="22">
        <f>IF($A194="","",COUNTIFS('契約'!$C$4:$C$200,$A194,'契約'!$O$4:$O$200,"移管"))</f>
        <v/>
      </c>
      <c r="AW194" s="22">
        <f>IF($A194="","",COUNTIFS('契約'!$C$4:$C$200,$A194,'契約'!$O$4:$O$200,"一部"))</f>
        <v/>
      </c>
      <c r="AX194" s="22">
        <f>IF($A194="","",COUNTIFS('契約'!$C$4:$C$200,$A194,'契約'!$O$4:$O$200,"判定保留"))</f>
        <v/>
      </c>
      <c r="AY194" s="22">
        <f>IF($A194="","",COUNTIFS('契約'!$C$4:$C$200,$A194,'契約'!$O$4:$O$200,"留保"))</f>
        <v/>
      </c>
    </row>
    <row r="195">
      <c r="A195" s="17" t="n"/>
      <c r="B195" s="17" t="n"/>
      <c r="C195" s="17" t="n"/>
      <c r="D195" s="17" t="n"/>
      <c r="E195" s="17" t="n"/>
      <c r="F195" s="17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9">
        <f>IF(COUNT(G195:R195)=0,"",SUM(G195:R195))</f>
        <v/>
      </c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9">
        <f>IF(COUNT(T195:AE195)=0,"",SUM(T195:AE195))</f>
        <v/>
      </c>
      <c r="AG195" s="17" t="n"/>
      <c r="AH195" s="17" t="n"/>
      <c r="AI195" s="17" t="n"/>
      <c r="AJ195" s="17" t="n"/>
      <c r="AK195" s="17" t="n"/>
      <c r="AL195" s="22">
        <f>IF($A195="","",IF(OR(AM195="移管",AN195="移管"),"移管",IF(OR(AM195="一部",AN195="一部"),"一部",IF(OR(AM195="判定保留",AN195="判定保留"),"判定保留",IF(OR(AM195="留保",AN195="留保"),"留保","対象外")))))</f>
        <v/>
      </c>
      <c r="AM195" s="22">
        <f>IF($A195="","",IF(AU195=0,"対象外",IF(AV195=AU195,"移管",IF(AV195+AW195&gt;0,"一部",IF(AX195&gt;0,"判定保留",IF(AY195&gt;0,"留保","対象外"))))))</f>
        <v/>
      </c>
      <c r="AN195" s="22">
        <f>IF($A195="","",IF((AO195+AS195+AT195)=0,"対象外",IF(AP195=(AO195+AS195+AT195),"移管",IF(AP195&gt;0,"一部",IF(AR195+AT195&gt;0,"判定保留",IF(AQ195+AS195&gt;0,"留保","対象外"))))))</f>
        <v/>
      </c>
      <c r="AO195" s="22">
        <f>IF($A195="","",SUMPRODUCT((COUNTIFS('紐付け'!$A$4:$A$200,$A195,'紐付け'!$C$4:$C$200,'業務'!$C$4:$C$200)&gt;0)*('業務'!$A$4:$A$200&lt;&gt;"")))</f>
        <v/>
      </c>
      <c r="AP195" s="22">
        <f>IF($A195="","",SUMPRODUCT((COUNTIFS('紐付け'!$A$4:$A$200,$A195,'紐付け'!$C$4:$C$200,'業務'!$C$4:$C$200)&gt;0)*('業務'!$A$4:$A$200&lt;&gt;"")*('業務'!$P$4:$P$200="移管")))</f>
        <v/>
      </c>
      <c r="AQ195" s="22">
        <f>IF($A195="","",SUMPRODUCT((COUNTIFS('紐付け'!$A$4:$A$200,$A195,'紐付け'!$C$4:$C$200,'業務'!$C$4:$C$200)&gt;0)*('業務'!$A$4:$A$200&lt;&gt;"")*('業務'!$P$4:$P$200="留保")))</f>
        <v/>
      </c>
      <c r="AR195" s="22">
        <f>IF($A195="","",AO195-AP195-AQ195)</f>
        <v/>
      </c>
      <c r="AS195" s="22">
        <f>IF($A195="","",SUMPRODUCT(('紐付け'!$A$4:$A$200=$A195)*('紐付け'!$C$4:$C$200&lt;&gt;"")*(COUNTIF('業務'!$C$4:$C$200,'紐付け'!$C$4:$C$200)=0)*(COUNTIFS('システム'!$A$4:$A$200,'紐付け'!$C$4:$C$200,'システム'!$N$4:$N$200,"留保")&gt;0)))</f>
        <v/>
      </c>
      <c r="AT195" s="22">
        <f>IF($A195="","",SUMPRODUCT(('紐付け'!$A$4:$A$200=$A195)*('紐付け'!$C$4:$C$200&lt;&gt;"")*(COUNTIF('業務'!$C$4:$C$200,'紐付け'!$C$4:$C$200)=0))-AS195)</f>
        <v/>
      </c>
      <c r="AU195" s="22">
        <f>IF($A195="","",COUNTIF('契約'!$C$4:$C$200,$A195))</f>
        <v/>
      </c>
      <c r="AV195" s="22">
        <f>IF($A195="","",COUNTIFS('契約'!$C$4:$C$200,$A195,'契約'!$O$4:$O$200,"移管"))</f>
        <v/>
      </c>
      <c r="AW195" s="22">
        <f>IF($A195="","",COUNTIFS('契約'!$C$4:$C$200,$A195,'契約'!$O$4:$O$200,"一部"))</f>
        <v/>
      </c>
      <c r="AX195" s="22">
        <f>IF($A195="","",COUNTIFS('契約'!$C$4:$C$200,$A195,'契約'!$O$4:$O$200,"判定保留"))</f>
        <v/>
      </c>
      <c r="AY195" s="22">
        <f>IF($A195="","",COUNTIFS('契約'!$C$4:$C$200,$A195,'契約'!$O$4:$O$200,"留保"))</f>
        <v/>
      </c>
    </row>
    <row r="196">
      <c r="A196" s="17" t="n"/>
      <c r="B196" s="17" t="n"/>
      <c r="C196" s="17" t="n"/>
      <c r="D196" s="17" t="n"/>
      <c r="E196" s="17" t="n"/>
      <c r="F196" s="17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9">
        <f>IF(COUNT(G196:R196)=0,"",SUM(G196:R196))</f>
        <v/>
      </c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9">
        <f>IF(COUNT(T196:AE196)=0,"",SUM(T196:AE196))</f>
        <v/>
      </c>
      <c r="AG196" s="17" t="n"/>
      <c r="AH196" s="17" t="n"/>
      <c r="AI196" s="17" t="n"/>
      <c r="AJ196" s="17" t="n"/>
      <c r="AK196" s="17" t="n"/>
      <c r="AL196" s="22">
        <f>IF($A196="","",IF(OR(AM196="移管",AN196="移管"),"移管",IF(OR(AM196="一部",AN196="一部"),"一部",IF(OR(AM196="判定保留",AN196="判定保留"),"判定保留",IF(OR(AM196="留保",AN196="留保"),"留保","対象外")))))</f>
        <v/>
      </c>
      <c r="AM196" s="22">
        <f>IF($A196="","",IF(AU196=0,"対象外",IF(AV196=AU196,"移管",IF(AV196+AW196&gt;0,"一部",IF(AX196&gt;0,"判定保留",IF(AY196&gt;0,"留保","対象外"))))))</f>
        <v/>
      </c>
      <c r="AN196" s="22">
        <f>IF($A196="","",IF((AO196+AS196+AT196)=0,"対象外",IF(AP196=(AO196+AS196+AT196),"移管",IF(AP196&gt;0,"一部",IF(AR196+AT196&gt;0,"判定保留",IF(AQ196+AS196&gt;0,"留保","対象外"))))))</f>
        <v/>
      </c>
      <c r="AO196" s="22">
        <f>IF($A196="","",SUMPRODUCT((COUNTIFS('紐付け'!$A$4:$A$200,$A196,'紐付け'!$C$4:$C$200,'業務'!$C$4:$C$200)&gt;0)*('業務'!$A$4:$A$200&lt;&gt;"")))</f>
        <v/>
      </c>
      <c r="AP196" s="22">
        <f>IF($A196="","",SUMPRODUCT((COUNTIFS('紐付け'!$A$4:$A$200,$A196,'紐付け'!$C$4:$C$200,'業務'!$C$4:$C$200)&gt;0)*('業務'!$A$4:$A$200&lt;&gt;"")*('業務'!$P$4:$P$200="移管")))</f>
        <v/>
      </c>
      <c r="AQ196" s="22">
        <f>IF($A196="","",SUMPRODUCT((COUNTIFS('紐付け'!$A$4:$A$200,$A196,'紐付け'!$C$4:$C$200,'業務'!$C$4:$C$200)&gt;0)*('業務'!$A$4:$A$200&lt;&gt;"")*('業務'!$P$4:$P$200="留保")))</f>
        <v/>
      </c>
      <c r="AR196" s="22">
        <f>IF($A196="","",AO196-AP196-AQ196)</f>
        <v/>
      </c>
      <c r="AS196" s="22">
        <f>IF($A196="","",SUMPRODUCT(('紐付け'!$A$4:$A$200=$A196)*('紐付け'!$C$4:$C$200&lt;&gt;"")*(COUNTIF('業務'!$C$4:$C$200,'紐付け'!$C$4:$C$200)=0)*(COUNTIFS('システム'!$A$4:$A$200,'紐付け'!$C$4:$C$200,'システム'!$N$4:$N$200,"留保")&gt;0)))</f>
        <v/>
      </c>
      <c r="AT196" s="22">
        <f>IF($A196="","",SUMPRODUCT(('紐付け'!$A$4:$A$200=$A196)*('紐付け'!$C$4:$C$200&lt;&gt;"")*(COUNTIF('業務'!$C$4:$C$200,'紐付け'!$C$4:$C$200)=0))-AS196)</f>
        <v/>
      </c>
      <c r="AU196" s="22">
        <f>IF($A196="","",COUNTIF('契約'!$C$4:$C$200,$A196))</f>
        <v/>
      </c>
      <c r="AV196" s="22">
        <f>IF($A196="","",COUNTIFS('契約'!$C$4:$C$200,$A196,'契約'!$O$4:$O$200,"移管"))</f>
        <v/>
      </c>
      <c r="AW196" s="22">
        <f>IF($A196="","",COUNTIFS('契約'!$C$4:$C$200,$A196,'契約'!$O$4:$O$200,"一部"))</f>
        <v/>
      </c>
      <c r="AX196" s="22">
        <f>IF($A196="","",COUNTIFS('契約'!$C$4:$C$200,$A196,'契約'!$O$4:$O$200,"判定保留"))</f>
        <v/>
      </c>
      <c r="AY196" s="22">
        <f>IF($A196="","",COUNTIFS('契約'!$C$4:$C$200,$A196,'契約'!$O$4:$O$200,"留保"))</f>
        <v/>
      </c>
    </row>
    <row r="197">
      <c r="A197" s="17" t="n"/>
      <c r="B197" s="17" t="n"/>
      <c r="C197" s="17" t="n"/>
      <c r="D197" s="17" t="n"/>
      <c r="E197" s="17" t="n"/>
      <c r="F197" s="17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9">
        <f>IF(COUNT(G197:R197)=0,"",SUM(G197:R197))</f>
        <v/>
      </c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9">
        <f>IF(COUNT(T197:AE197)=0,"",SUM(T197:AE197))</f>
        <v/>
      </c>
      <c r="AG197" s="17" t="n"/>
      <c r="AH197" s="17" t="n"/>
      <c r="AI197" s="17" t="n"/>
      <c r="AJ197" s="17" t="n"/>
      <c r="AK197" s="17" t="n"/>
      <c r="AL197" s="22">
        <f>IF($A197="","",IF(OR(AM197="移管",AN197="移管"),"移管",IF(OR(AM197="一部",AN197="一部"),"一部",IF(OR(AM197="判定保留",AN197="判定保留"),"判定保留",IF(OR(AM197="留保",AN197="留保"),"留保","対象外")))))</f>
        <v/>
      </c>
      <c r="AM197" s="22">
        <f>IF($A197="","",IF(AU197=0,"対象外",IF(AV197=AU197,"移管",IF(AV197+AW197&gt;0,"一部",IF(AX197&gt;0,"判定保留",IF(AY197&gt;0,"留保","対象外"))))))</f>
        <v/>
      </c>
      <c r="AN197" s="22">
        <f>IF($A197="","",IF((AO197+AS197+AT197)=0,"対象外",IF(AP197=(AO197+AS197+AT197),"移管",IF(AP197&gt;0,"一部",IF(AR197+AT197&gt;0,"判定保留",IF(AQ197+AS197&gt;0,"留保","対象外"))))))</f>
        <v/>
      </c>
      <c r="AO197" s="22">
        <f>IF($A197="","",SUMPRODUCT((COUNTIFS('紐付け'!$A$4:$A$200,$A197,'紐付け'!$C$4:$C$200,'業務'!$C$4:$C$200)&gt;0)*('業務'!$A$4:$A$200&lt;&gt;"")))</f>
        <v/>
      </c>
      <c r="AP197" s="22">
        <f>IF($A197="","",SUMPRODUCT((COUNTIFS('紐付け'!$A$4:$A$200,$A197,'紐付け'!$C$4:$C$200,'業務'!$C$4:$C$200)&gt;0)*('業務'!$A$4:$A$200&lt;&gt;"")*('業務'!$P$4:$P$200="移管")))</f>
        <v/>
      </c>
      <c r="AQ197" s="22">
        <f>IF($A197="","",SUMPRODUCT((COUNTIFS('紐付け'!$A$4:$A$200,$A197,'紐付け'!$C$4:$C$200,'業務'!$C$4:$C$200)&gt;0)*('業務'!$A$4:$A$200&lt;&gt;"")*('業務'!$P$4:$P$200="留保")))</f>
        <v/>
      </c>
      <c r="AR197" s="22">
        <f>IF($A197="","",AO197-AP197-AQ197)</f>
        <v/>
      </c>
      <c r="AS197" s="22">
        <f>IF($A197="","",SUMPRODUCT(('紐付け'!$A$4:$A$200=$A197)*('紐付け'!$C$4:$C$200&lt;&gt;"")*(COUNTIF('業務'!$C$4:$C$200,'紐付け'!$C$4:$C$200)=0)*(COUNTIFS('システム'!$A$4:$A$200,'紐付け'!$C$4:$C$200,'システム'!$N$4:$N$200,"留保")&gt;0)))</f>
        <v/>
      </c>
      <c r="AT197" s="22">
        <f>IF($A197="","",SUMPRODUCT(('紐付け'!$A$4:$A$200=$A197)*('紐付け'!$C$4:$C$200&lt;&gt;"")*(COUNTIF('業務'!$C$4:$C$200,'紐付け'!$C$4:$C$200)=0))-AS197)</f>
        <v/>
      </c>
      <c r="AU197" s="22">
        <f>IF($A197="","",COUNTIF('契約'!$C$4:$C$200,$A197))</f>
        <v/>
      </c>
      <c r="AV197" s="22">
        <f>IF($A197="","",COUNTIFS('契約'!$C$4:$C$200,$A197,'契約'!$O$4:$O$200,"移管"))</f>
        <v/>
      </c>
      <c r="AW197" s="22">
        <f>IF($A197="","",COUNTIFS('契約'!$C$4:$C$200,$A197,'契約'!$O$4:$O$200,"一部"))</f>
        <v/>
      </c>
      <c r="AX197" s="22">
        <f>IF($A197="","",COUNTIFS('契約'!$C$4:$C$200,$A197,'契約'!$O$4:$O$200,"判定保留"))</f>
        <v/>
      </c>
      <c r="AY197" s="22">
        <f>IF($A197="","",COUNTIFS('契約'!$C$4:$C$200,$A197,'契約'!$O$4:$O$200,"留保"))</f>
        <v/>
      </c>
    </row>
    <row r="198">
      <c r="A198" s="17" t="n"/>
      <c r="B198" s="17" t="n"/>
      <c r="C198" s="17" t="n"/>
      <c r="D198" s="17" t="n"/>
      <c r="E198" s="17" t="n"/>
      <c r="F198" s="17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9">
        <f>IF(COUNT(G198:R198)=0,"",SUM(G198:R198))</f>
        <v/>
      </c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9">
        <f>IF(COUNT(T198:AE198)=0,"",SUM(T198:AE198))</f>
        <v/>
      </c>
      <c r="AG198" s="17" t="n"/>
      <c r="AH198" s="17" t="n"/>
      <c r="AI198" s="17" t="n"/>
      <c r="AJ198" s="17" t="n"/>
      <c r="AK198" s="17" t="n"/>
      <c r="AL198" s="22">
        <f>IF($A198="","",IF(OR(AM198="移管",AN198="移管"),"移管",IF(OR(AM198="一部",AN198="一部"),"一部",IF(OR(AM198="判定保留",AN198="判定保留"),"判定保留",IF(OR(AM198="留保",AN198="留保"),"留保","対象外")))))</f>
        <v/>
      </c>
      <c r="AM198" s="22">
        <f>IF($A198="","",IF(AU198=0,"対象外",IF(AV198=AU198,"移管",IF(AV198+AW198&gt;0,"一部",IF(AX198&gt;0,"判定保留",IF(AY198&gt;0,"留保","対象外"))))))</f>
        <v/>
      </c>
      <c r="AN198" s="22">
        <f>IF($A198="","",IF((AO198+AS198+AT198)=0,"対象外",IF(AP198=(AO198+AS198+AT198),"移管",IF(AP198&gt;0,"一部",IF(AR198+AT198&gt;0,"判定保留",IF(AQ198+AS198&gt;0,"留保","対象外"))))))</f>
        <v/>
      </c>
      <c r="AO198" s="22">
        <f>IF($A198="","",SUMPRODUCT((COUNTIFS('紐付け'!$A$4:$A$200,$A198,'紐付け'!$C$4:$C$200,'業務'!$C$4:$C$200)&gt;0)*('業務'!$A$4:$A$200&lt;&gt;"")))</f>
        <v/>
      </c>
      <c r="AP198" s="22">
        <f>IF($A198="","",SUMPRODUCT((COUNTIFS('紐付け'!$A$4:$A$200,$A198,'紐付け'!$C$4:$C$200,'業務'!$C$4:$C$200)&gt;0)*('業務'!$A$4:$A$200&lt;&gt;"")*('業務'!$P$4:$P$200="移管")))</f>
        <v/>
      </c>
      <c r="AQ198" s="22">
        <f>IF($A198="","",SUMPRODUCT((COUNTIFS('紐付け'!$A$4:$A$200,$A198,'紐付け'!$C$4:$C$200,'業務'!$C$4:$C$200)&gt;0)*('業務'!$A$4:$A$200&lt;&gt;"")*('業務'!$P$4:$P$200="留保")))</f>
        <v/>
      </c>
      <c r="AR198" s="22">
        <f>IF($A198="","",AO198-AP198-AQ198)</f>
        <v/>
      </c>
      <c r="AS198" s="22">
        <f>IF($A198="","",SUMPRODUCT(('紐付け'!$A$4:$A$200=$A198)*('紐付け'!$C$4:$C$200&lt;&gt;"")*(COUNTIF('業務'!$C$4:$C$200,'紐付け'!$C$4:$C$200)=0)*(COUNTIFS('システム'!$A$4:$A$200,'紐付け'!$C$4:$C$200,'システム'!$N$4:$N$200,"留保")&gt;0)))</f>
        <v/>
      </c>
      <c r="AT198" s="22">
        <f>IF($A198="","",SUMPRODUCT(('紐付け'!$A$4:$A$200=$A198)*('紐付け'!$C$4:$C$200&lt;&gt;"")*(COUNTIF('業務'!$C$4:$C$200,'紐付け'!$C$4:$C$200)=0))-AS198)</f>
        <v/>
      </c>
      <c r="AU198" s="22">
        <f>IF($A198="","",COUNTIF('契約'!$C$4:$C$200,$A198))</f>
        <v/>
      </c>
      <c r="AV198" s="22">
        <f>IF($A198="","",COUNTIFS('契約'!$C$4:$C$200,$A198,'契約'!$O$4:$O$200,"移管"))</f>
        <v/>
      </c>
      <c r="AW198" s="22">
        <f>IF($A198="","",COUNTIFS('契約'!$C$4:$C$200,$A198,'契約'!$O$4:$O$200,"一部"))</f>
        <v/>
      </c>
      <c r="AX198" s="22">
        <f>IF($A198="","",COUNTIFS('契約'!$C$4:$C$200,$A198,'契約'!$O$4:$O$200,"判定保留"))</f>
        <v/>
      </c>
      <c r="AY198" s="22">
        <f>IF($A198="","",COUNTIFS('契約'!$C$4:$C$200,$A198,'契約'!$O$4:$O$200,"留保"))</f>
        <v/>
      </c>
    </row>
    <row r="199">
      <c r="A199" s="17" t="n"/>
      <c r="B199" s="17" t="n"/>
      <c r="C199" s="17" t="n"/>
      <c r="D199" s="17" t="n"/>
      <c r="E199" s="17" t="n"/>
      <c r="F199" s="17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9">
        <f>IF(COUNT(G199:R199)=0,"",SUM(G199:R199))</f>
        <v/>
      </c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9">
        <f>IF(COUNT(T199:AE199)=0,"",SUM(T199:AE199))</f>
        <v/>
      </c>
      <c r="AG199" s="17" t="n"/>
      <c r="AH199" s="17" t="n"/>
      <c r="AI199" s="17" t="n"/>
      <c r="AJ199" s="17" t="n"/>
      <c r="AK199" s="17" t="n"/>
      <c r="AL199" s="22">
        <f>IF($A199="","",IF(OR(AM199="移管",AN199="移管"),"移管",IF(OR(AM199="一部",AN199="一部"),"一部",IF(OR(AM199="判定保留",AN199="判定保留"),"判定保留",IF(OR(AM199="留保",AN199="留保"),"留保","対象外")))))</f>
        <v/>
      </c>
      <c r="AM199" s="22">
        <f>IF($A199="","",IF(AU199=0,"対象外",IF(AV199=AU199,"移管",IF(AV199+AW199&gt;0,"一部",IF(AX199&gt;0,"判定保留",IF(AY199&gt;0,"留保","対象外"))))))</f>
        <v/>
      </c>
      <c r="AN199" s="22">
        <f>IF($A199="","",IF((AO199+AS199+AT199)=0,"対象外",IF(AP199=(AO199+AS199+AT199),"移管",IF(AP199&gt;0,"一部",IF(AR199+AT199&gt;0,"判定保留",IF(AQ199+AS199&gt;0,"留保","対象外"))))))</f>
        <v/>
      </c>
      <c r="AO199" s="22">
        <f>IF($A199="","",SUMPRODUCT((COUNTIFS('紐付け'!$A$4:$A$200,$A199,'紐付け'!$C$4:$C$200,'業務'!$C$4:$C$200)&gt;0)*('業務'!$A$4:$A$200&lt;&gt;"")))</f>
        <v/>
      </c>
      <c r="AP199" s="22">
        <f>IF($A199="","",SUMPRODUCT((COUNTIFS('紐付け'!$A$4:$A$200,$A199,'紐付け'!$C$4:$C$200,'業務'!$C$4:$C$200)&gt;0)*('業務'!$A$4:$A$200&lt;&gt;"")*('業務'!$P$4:$P$200="移管")))</f>
        <v/>
      </c>
      <c r="AQ199" s="22">
        <f>IF($A199="","",SUMPRODUCT((COUNTIFS('紐付け'!$A$4:$A$200,$A199,'紐付け'!$C$4:$C$200,'業務'!$C$4:$C$200)&gt;0)*('業務'!$A$4:$A$200&lt;&gt;"")*('業務'!$P$4:$P$200="留保")))</f>
        <v/>
      </c>
      <c r="AR199" s="22">
        <f>IF($A199="","",AO199-AP199-AQ199)</f>
        <v/>
      </c>
      <c r="AS199" s="22">
        <f>IF($A199="","",SUMPRODUCT(('紐付け'!$A$4:$A$200=$A199)*('紐付け'!$C$4:$C$200&lt;&gt;"")*(COUNTIF('業務'!$C$4:$C$200,'紐付け'!$C$4:$C$200)=0)*(COUNTIFS('システム'!$A$4:$A$200,'紐付け'!$C$4:$C$200,'システム'!$N$4:$N$200,"留保")&gt;0)))</f>
        <v/>
      </c>
      <c r="AT199" s="22">
        <f>IF($A199="","",SUMPRODUCT(('紐付け'!$A$4:$A$200=$A199)*('紐付け'!$C$4:$C$200&lt;&gt;"")*(COUNTIF('業務'!$C$4:$C$200,'紐付け'!$C$4:$C$200)=0))-AS199)</f>
        <v/>
      </c>
      <c r="AU199" s="22">
        <f>IF($A199="","",COUNTIF('契約'!$C$4:$C$200,$A199))</f>
        <v/>
      </c>
      <c r="AV199" s="22">
        <f>IF($A199="","",COUNTIFS('契約'!$C$4:$C$200,$A199,'契約'!$O$4:$O$200,"移管"))</f>
        <v/>
      </c>
      <c r="AW199" s="22">
        <f>IF($A199="","",COUNTIFS('契約'!$C$4:$C$200,$A199,'契約'!$O$4:$O$200,"一部"))</f>
        <v/>
      </c>
      <c r="AX199" s="22">
        <f>IF($A199="","",COUNTIFS('契約'!$C$4:$C$200,$A199,'契約'!$O$4:$O$200,"判定保留"))</f>
        <v/>
      </c>
      <c r="AY199" s="22">
        <f>IF($A199="","",COUNTIFS('契約'!$C$4:$C$200,$A199,'契約'!$O$4:$O$200,"留保"))</f>
        <v/>
      </c>
    </row>
    <row r="200">
      <c r="A200" s="17" t="n"/>
      <c r="B200" s="17" t="n"/>
      <c r="C200" s="17" t="n"/>
      <c r="D200" s="17" t="n"/>
      <c r="E200" s="17" t="n"/>
      <c r="F200" s="17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9">
        <f>IF(COUNT(G200:R200)=0,"",SUM(G200:R200))</f>
        <v/>
      </c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9">
        <f>IF(COUNT(T200:AE200)=0,"",SUM(T200:AE200))</f>
        <v/>
      </c>
      <c r="AG200" s="17" t="n"/>
      <c r="AH200" s="17" t="n"/>
      <c r="AI200" s="17" t="n"/>
      <c r="AJ200" s="17" t="n"/>
      <c r="AK200" s="17" t="n"/>
      <c r="AL200" s="22">
        <f>IF($A200="","",IF(OR(AM200="移管",AN200="移管"),"移管",IF(OR(AM200="一部",AN200="一部"),"一部",IF(OR(AM200="判定保留",AN200="判定保留"),"判定保留",IF(OR(AM200="留保",AN200="留保"),"留保","対象外")))))</f>
        <v/>
      </c>
      <c r="AM200" s="22">
        <f>IF($A200="","",IF(AU200=0,"対象外",IF(AV200=AU200,"移管",IF(AV200+AW200&gt;0,"一部",IF(AX200&gt;0,"判定保留",IF(AY200&gt;0,"留保","対象外"))))))</f>
        <v/>
      </c>
      <c r="AN200" s="22">
        <f>IF($A200="","",IF((AO200+AS200+AT200)=0,"対象外",IF(AP200=(AO200+AS200+AT200),"移管",IF(AP200&gt;0,"一部",IF(AR200+AT200&gt;0,"判定保留",IF(AQ200+AS200&gt;0,"留保","対象外"))))))</f>
        <v/>
      </c>
      <c r="AO200" s="22">
        <f>IF($A200="","",SUMPRODUCT((COUNTIFS('紐付け'!$A$4:$A$200,$A200,'紐付け'!$C$4:$C$200,'業務'!$C$4:$C$200)&gt;0)*('業務'!$A$4:$A$200&lt;&gt;"")))</f>
        <v/>
      </c>
      <c r="AP200" s="22">
        <f>IF($A200="","",SUMPRODUCT((COUNTIFS('紐付け'!$A$4:$A$200,$A200,'紐付け'!$C$4:$C$200,'業務'!$C$4:$C$200)&gt;0)*('業務'!$A$4:$A$200&lt;&gt;"")*('業務'!$P$4:$P$200="移管")))</f>
        <v/>
      </c>
      <c r="AQ200" s="22">
        <f>IF($A200="","",SUMPRODUCT((COUNTIFS('紐付け'!$A$4:$A$200,$A200,'紐付け'!$C$4:$C$200,'業務'!$C$4:$C$200)&gt;0)*('業務'!$A$4:$A$200&lt;&gt;"")*('業務'!$P$4:$P$200="留保")))</f>
        <v/>
      </c>
      <c r="AR200" s="22">
        <f>IF($A200="","",AO200-AP200-AQ200)</f>
        <v/>
      </c>
      <c r="AS200" s="22">
        <f>IF($A200="","",SUMPRODUCT(('紐付け'!$A$4:$A$200=$A200)*('紐付け'!$C$4:$C$200&lt;&gt;"")*(COUNTIF('業務'!$C$4:$C$200,'紐付け'!$C$4:$C$200)=0)*(COUNTIFS('システム'!$A$4:$A$200,'紐付け'!$C$4:$C$200,'システム'!$N$4:$N$200,"留保")&gt;0)))</f>
        <v/>
      </c>
      <c r="AT200" s="22">
        <f>IF($A200="","",SUMPRODUCT(('紐付け'!$A$4:$A$200=$A200)*('紐付け'!$C$4:$C$200&lt;&gt;"")*(COUNTIF('業務'!$C$4:$C$200,'紐付け'!$C$4:$C$200)=0))-AS200)</f>
        <v/>
      </c>
      <c r="AU200" s="22">
        <f>IF($A200="","",COUNTIF('契約'!$C$4:$C$200,$A200))</f>
        <v/>
      </c>
      <c r="AV200" s="22">
        <f>IF($A200="","",COUNTIFS('契約'!$C$4:$C$200,$A200,'契約'!$O$4:$O$200,"移管"))</f>
        <v/>
      </c>
      <c r="AW200" s="22">
        <f>IF($A200="","",COUNTIFS('契約'!$C$4:$C$200,$A200,'契約'!$O$4:$O$200,"一部"))</f>
        <v/>
      </c>
      <c r="AX200" s="22">
        <f>IF($A200="","",COUNTIFS('契約'!$C$4:$C$200,$A200,'契約'!$O$4:$O$200,"判定保留"))</f>
        <v/>
      </c>
      <c r="AY200" s="22">
        <f>IF($A200="","",COUNTIFS('契約'!$C$4:$C$200,$A200,'契約'!$O$4:$O$200,"留保"))</f>
        <v/>
      </c>
    </row>
  </sheetData>
  <mergeCells count="5">
    <mergeCell ref="T3:AF3"/>
    <mergeCell ref="AH3:AK3"/>
    <mergeCell ref="G3:S3"/>
    <mergeCell ref="A3:F3"/>
    <mergeCell ref="AL3:AN3"/>
  </mergeCells>
  <dataValidations count="4">
    <dataValidation sqref="AG5:AG200" showDropDown="0" showInputMessage="0" showErrorMessage="0" allowBlank="1" type="list">
      <formula1>'選択肢'!$A$5:$A$13</formula1>
    </dataValidation>
    <dataValidation sqref="AH5:AH200" showDropDown="0" showInputMessage="0" showErrorMessage="0" allowBlank="1" type="list">
      <formula1>'選択肢'!$C$5:$C$14</formula1>
    </dataValidation>
    <dataValidation sqref="AI5:AI200" showDropDown="0" showInputMessage="0" showErrorMessage="0" allowBlank="1" type="list">
      <formula1>'選択肢'!$C$5:$C$14</formula1>
    </dataValidation>
    <dataValidation sqref="AJ5:AJ200" showDropDown="0" showInputMessage="0" showErrorMessage="0" allowBlank="1" type="list">
      <formula1>'選択肢'!$C$5:$C$14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>
      <c r="A1" s="1" t="inlineStr">
        <is>
          <t>紐付け（案件×システム）</t>
        </is>
      </c>
    </row>
    <row r="2">
      <c r="A2" s="4" t="inlineStr">
        <is>
          <t>1行＝1つの対応（案件×システム）。1案件に複数のシステム、1システムに複数の案件があれば行を分ける。紐付け以外の情報は持たない。</t>
        </is>
      </c>
    </row>
    <row r="3" ht="34" customHeight="1">
      <c r="A3" s="10" t="inlineStr">
        <is>
          <t>案件ID</t>
        </is>
      </c>
      <c r="B3" s="10" t="inlineStr">
        <is>
          <t>案件名（自動）</t>
        </is>
      </c>
      <c r="C3" s="10" t="inlineStr">
        <is>
          <t>システムID</t>
        </is>
      </c>
      <c r="D3" s="10" t="inlineStr">
        <is>
          <t>システム名（自動）</t>
        </is>
      </c>
    </row>
    <row r="4">
      <c r="A4" s="11" t="inlineStr">
        <is>
          <t>BUD-001</t>
        </is>
      </c>
      <c r="B4" s="16">
        <f>IF(A4="","",IFERROR(INDEX('予算シート'!$B:$B,MATCH(A4,'予算シート'!$A:$A,0)),"案件が未登録"))</f>
        <v/>
      </c>
      <c r="C4" s="11" t="inlineStr">
        <is>
          <t>SYS-012</t>
        </is>
      </c>
      <c r="D4" s="16">
        <f>IF(C4="","",IFERROR(INDEX('システム'!$B:$B,MATCH(C4,'システム'!$A:$A,0)),"システムが未登録"))</f>
        <v/>
      </c>
    </row>
    <row r="5">
      <c r="A5" s="11" t="inlineStr">
        <is>
          <t>BUD-001</t>
        </is>
      </c>
      <c r="B5" s="16">
        <f>IF(A5="","",IFERROR(INDEX('予算シート'!$B:$B,MATCH(A5,'予算シート'!$A:$A,0)),"案件が未登録"))</f>
        <v/>
      </c>
      <c r="C5" s="11" t="inlineStr">
        <is>
          <t>SYS-041</t>
        </is>
      </c>
      <c r="D5" s="16">
        <f>IF(C5="","",IFERROR(INDEX('システム'!$B:$B,MATCH(C5,'システム'!$A:$A,0)),"システムが未登録"))</f>
        <v/>
      </c>
    </row>
    <row r="6">
      <c r="A6" s="11" t="inlineStr">
        <is>
          <t>BUD-002</t>
        </is>
      </c>
      <c r="B6" s="16">
        <f>IF(A6="","",IFERROR(INDEX('予算シート'!$B:$B,MATCH(A6,'予算シート'!$A:$A,0)),"案件が未登録"))</f>
        <v/>
      </c>
      <c r="C6" s="11" t="inlineStr">
        <is>
          <t>SYS-003</t>
        </is>
      </c>
      <c r="D6" s="16">
        <f>IF(C6="","",IFERROR(INDEX('システム'!$B:$B,MATCH(C6,'システム'!$A:$A,0)),"システムが未登録"))</f>
        <v/>
      </c>
    </row>
    <row r="7">
      <c r="A7" s="11" t="inlineStr">
        <is>
          <t>BUD-003</t>
        </is>
      </c>
      <c r="B7" s="16">
        <f>IF(A7="","",IFERROR(INDEX('予算シート'!$B:$B,MATCH(A7,'予算シート'!$A:$A,0)),"案件が未登録"))</f>
        <v/>
      </c>
      <c r="C7" s="11" t="inlineStr">
        <is>
          <t>SYS-041</t>
        </is>
      </c>
      <c r="D7" s="16">
        <f>IF(C7="","",IFERROR(INDEX('システム'!$B:$B,MATCH(C7,'システム'!$A:$A,0)),"システムが未登録"))</f>
        <v/>
      </c>
    </row>
    <row r="8">
      <c r="A8" s="17" t="n"/>
      <c r="B8" s="22">
        <f>IF(A8="","",IFERROR(INDEX('予算シート'!$B:$B,MATCH(A8,'予算シート'!$A:$A,0)),"案件が未登録"))</f>
        <v/>
      </c>
      <c r="C8" s="17" t="n"/>
      <c r="D8" s="22">
        <f>IF(C8="","",IFERROR(INDEX('システム'!$B:$B,MATCH(C8,'システム'!$A:$A,0)),"システムが未登録"))</f>
        <v/>
      </c>
    </row>
    <row r="9">
      <c r="A9" s="17" t="n"/>
      <c r="B9" s="22">
        <f>IF(A9="","",IFERROR(INDEX('予算シート'!$B:$B,MATCH(A9,'予算シート'!$A:$A,0)),"案件が未登録"))</f>
        <v/>
      </c>
      <c r="C9" s="17" t="n"/>
      <c r="D9" s="22">
        <f>IF(C9="","",IFERROR(INDEX('システム'!$B:$B,MATCH(C9,'システム'!$A:$A,0)),"システムが未登録"))</f>
        <v/>
      </c>
    </row>
    <row r="10">
      <c r="A10" s="17" t="n"/>
      <c r="B10" s="22">
        <f>IF(A10="","",IFERROR(INDEX('予算シート'!$B:$B,MATCH(A10,'予算シート'!$A:$A,0)),"案件が未登録"))</f>
        <v/>
      </c>
      <c r="C10" s="17" t="n"/>
      <c r="D10" s="22">
        <f>IF(C10="","",IFERROR(INDEX('システム'!$B:$B,MATCH(C10,'システム'!$A:$A,0)),"システムが未登録"))</f>
        <v/>
      </c>
    </row>
    <row r="11">
      <c r="A11" s="17" t="n"/>
      <c r="B11" s="22">
        <f>IF(A11="","",IFERROR(INDEX('予算シート'!$B:$B,MATCH(A11,'予算シート'!$A:$A,0)),"案件が未登録"))</f>
        <v/>
      </c>
      <c r="C11" s="17" t="n"/>
      <c r="D11" s="22">
        <f>IF(C11="","",IFERROR(INDEX('システム'!$B:$B,MATCH(C11,'システム'!$A:$A,0)),"システムが未登録"))</f>
        <v/>
      </c>
    </row>
    <row r="12">
      <c r="A12" s="17" t="n"/>
      <c r="B12" s="22">
        <f>IF(A12="","",IFERROR(INDEX('予算シート'!$B:$B,MATCH(A12,'予算シート'!$A:$A,0)),"案件が未登録"))</f>
        <v/>
      </c>
      <c r="C12" s="17" t="n"/>
      <c r="D12" s="22">
        <f>IF(C12="","",IFERROR(INDEX('システム'!$B:$B,MATCH(C12,'システム'!$A:$A,0)),"システムが未登録"))</f>
        <v/>
      </c>
    </row>
    <row r="13">
      <c r="A13" s="17" t="n"/>
      <c r="B13" s="22">
        <f>IF(A13="","",IFERROR(INDEX('予算シート'!$B:$B,MATCH(A13,'予算シート'!$A:$A,0)),"案件が未登録"))</f>
        <v/>
      </c>
      <c r="C13" s="17" t="n"/>
      <c r="D13" s="22">
        <f>IF(C13="","",IFERROR(INDEX('システム'!$B:$B,MATCH(C13,'システム'!$A:$A,0)),"システムが未登録"))</f>
        <v/>
      </c>
    </row>
    <row r="14">
      <c r="A14" s="17" t="n"/>
      <c r="B14" s="22">
        <f>IF(A14="","",IFERROR(INDEX('予算シート'!$B:$B,MATCH(A14,'予算シート'!$A:$A,0)),"案件が未登録"))</f>
        <v/>
      </c>
      <c r="C14" s="17" t="n"/>
      <c r="D14" s="22">
        <f>IF(C14="","",IFERROR(INDEX('システム'!$B:$B,MATCH(C14,'システム'!$A:$A,0)),"システムが未登録"))</f>
        <v/>
      </c>
    </row>
    <row r="15">
      <c r="A15" s="17" t="n"/>
      <c r="B15" s="22">
        <f>IF(A15="","",IFERROR(INDEX('予算シート'!$B:$B,MATCH(A15,'予算シート'!$A:$A,0)),"案件が未登録"))</f>
        <v/>
      </c>
      <c r="C15" s="17" t="n"/>
      <c r="D15" s="22">
        <f>IF(C15="","",IFERROR(INDEX('システム'!$B:$B,MATCH(C15,'システム'!$A:$A,0)),"システムが未登録"))</f>
        <v/>
      </c>
    </row>
    <row r="16">
      <c r="A16" s="17" t="n"/>
      <c r="B16" s="22">
        <f>IF(A16="","",IFERROR(INDEX('予算シート'!$B:$B,MATCH(A16,'予算シート'!$A:$A,0)),"案件が未登録"))</f>
        <v/>
      </c>
      <c r="C16" s="17" t="n"/>
      <c r="D16" s="22">
        <f>IF(C16="","",IFERROR(INDEX('システム'!$B:$B,MATCH(C16,'システム'!$A:$A,0)),"システムが未登録"))</f>
        <v/>
      </c>
    </row>
    <row r="17">
      <c r="A17" s="17" t="n"/>
      <c r="B17" s="22">
        <f>IF(A17="","",IFERROR(INDEX('予算シート'!$B:$B,MATCH(A17,'予算シート'!$A:$A,0)),"案件が未登録"))</f>
        <v/>
      </c>
      <c r="C17" s="17" t="n"/>
      <c r="D17" s="22">
        <f>IF(C17="","",IFERROR(INDEX('システム'!$B:$B,MATCH(C17,'システム'!$A:$A,0)),"システムが未登録"))</f>
        <v/>
      </c>
    </row>
    <row r="18">
      <c r="A18" s="17" t="n"/>
      <c r="B18" s="22">
        <f>IF(A18="","",IFERROR(INDEX('予算シート'!$B:$B,MATCH(A18,'予算シート'!$A:$A,0)),"案件が未登録"))</f>
        <v/>
      </c>
      <c r="C18" s="17" t="n"/>
      <c r="D18" s="22">
        <f>IF(C18="","",IFERROR(INDEX('システム'!$B:$B,MATCH(C18,'システム'!$A:$A,0)),"システムが未登録"))</f>
        <v/>
      </c>
    </row>
    <row r="19">
      <c r="A19" s="17" t="n"/>
      <c r="B19" s="22">
        <f>IF(A19="","",IFERROR(INDEX('予算シート'!$B:$B,MATCH(A19,'予算シート'!$A:$A,0)),"案件が未登録"))</f>
        <v/>
      </c>
      <c r="C19" s="17" t="n"/>
      <c r="D19" s="22">
        <f>IF(C19="","",IFERROR(INDEX('システム'!$B:$B,MATCH(C19,'システム'!$A:$A,0)),"システムが未登録"))</f>
        <v/>
      </c>
    </row>
    <row r="20">
      <c r="A20" s="17" t="n"/>
      <c r="B20" s="22">
        <f>IF(A20="","",IFERROR(INDEX('予算シート'!$B:$B,MATCH(A20,'予算シート'!$A:$A,0)),"案件が未登録"))</f>
        <v/>
      </c>
      <c r="C20" s="17" t="n"/>
      <c r="D20" s="22">
        <f>IF(C20="","",IFERROR(INDEX('システム'!$B:$B,MATCH(C20,'システム'!$A:$A,0)),"システムが未登録"))</f>
        <v/>
      </c>
    </row>
    <row r="21">
      <c r="A21" s="17" t="n"/>
      <c r="B21" s="22">
        <f>IF(A21="","",IFERROR(INDEX('予算シート'!$B:$B,MATCH(A21,'予算シート'!$A:$A,0)),"案件が未登録"))</f>
        <v/>
      </c>
      <c r="C21" s="17" t="n"/>
      <c r="D21" s="22">
        <f>IF(C21="","",IFERROR(INDEX('システム'!$B:$B,MATCH(C21,'システム'!$A:$A,0)),"システムが未登録"))</f>
        <v/>
      </c>
    </row>
    <row r="22">
      <c r="A22" s="17" t="n"/>
      <c r="B22" s="22">
        <f>IF(A22="","",IFERROR(INDEX('予算シート'!$B:$B,MATCH(A22,'予算シート'!$A:$A,0)),"案件が未登録"))</f>
        <v/>
      </c>
      <c r="C22" s="17" t="n"/>
      <c r="D22" s="22">
        <f>IF(C22="","",IFERROR(INDEX('システム'!$B:$B,MATCH(C22,'システム'!$A:$A,0)),"システムが未登録"))</f>
        <v/>
      </c>
    </row>
    <row r="23">
      <c r="A23" s="17" t="n"/>
      <c r="B23" s="22">
        <f>IF(A23="","",IFERROR(INDEX('予算シート'!$B:$B,MATCH(A23,'予算シート'!$A:$A,0)),"案件が未登録"))</f>
        <v/>
      </c>
      <c r="C23" s="17" t="n"/>
      <c r="D23" s="22">
        <f>IF(C23="","",IFERROR(INDEX('システム'!$B:$B,MATCH(C23,'システム'!$A:$A,0)),"システムが未登録"))</f>
        <v/>
      </c>
    </row>
    <row r="24">
      <c r="A24" s="17" t="n"/>
      <c r="B24" s="22">
        <f>IF(A24="","",IFERROR(INDEX('予算シート'!$B:$B,MATCH(A24,'予算シート'!$A:$A,0)),"案件が未登録"))</f>
        <v/>
      </c>
      <c r="C24" s="17" t="n"/>
      <c r="D24" s="22">
        <f>IF(C24="","",IFERROR(INDEX('システム'!$B:$B,MATCH(C24,'システム'!$A:$A,0)),"システムが未登録"))</f>
        <v/>
      </c>
    </row>
    <row r="25">
      <c r="A25" s="17" t="n"/>
      <c r="B25" s="22">
        <f>IF(A25="","",IFERROR(INDEX('予算シート'!$B:$B,MATCH(A25,'予算シート'!$A:$A,0)),"案件が未登録"))</f>
        <v/>
      </c>
      <c r="C25" s="17" t="n"/>
      <c r="D25" s="22">
        <f>IF(C25="","",IFERROR(INDEX('システム'!$B:$B,MATCH(C25,'システム'!$A:$A,0)),"システムが未登録"))</f>
        <v/>
      </c>
    </row>
    <row r="26">
      <c r="A26" s="17" t="n"/>
      <c r="B26" s="22">
        <f>IF(A26="","",IFERROR(INDEX('予算シート'!$B:$B,MATCH(A26,'予算シート'!$A:$A,0)),"案件が未登録"))</f>
        <v/>
      </c>
      <c r="C26" s="17" t="n"/>
      <c r="D26" s="22">
        <f>IF(C26="","",IFERROR(INDEX('システム'!$B:$B,MATCH(C26,'システム'!$A:$A,0)),"システムが未登録"))</f>
        <v/>
      </c>
    </row>
    <row r="27">
      <c r="A27" s="17" t="n"/>
      <c r="B27" s="22">
        <f>IF(A27="","",IFERROR(INDEX('予算シート'!$B:$B,MATCH(A27,'予算シート'!$A:$A,0)),"案件が未登録"))</f>
        <v/>
      </c>
      <c r="C27" s="17" t="n"/>
      <c r="D27" s="22">
        <f>IF(C27="","",IFERROR(INDEX('システム'!$B:$B,MATCH(C27,'システム'!$A:$A,0)),"システムが未登録"))</f>
        <v/>
      </c>
    </row>
    <row r="28">
      <c r="A28" s="17" t="n"/>
      <c r="B28" s="22">
        <f>IF(A28="","",IFERROR(INDEX('予算シート'!$B:$B,MATCH(A28,'予算シート'!$A:$A,0)),"案件が未登録"))</f>
        <v/>
      </c>
      <c r="C28" s="17" t="n"/>
      <c r="D28" s="22">
        <f>IF(C28="","",IFERROR(INDEX('システム'!$B:$B,MATCH(C28,'システム'!$A:$A,0)),"システムが未登録"))</f>
        <v/>
      </c>
    </row>
    <row r="29">
      <c r="A29" s="17" t="n"/>
      <c r="B29" s="22">
        <f>IF(A29="","",IFERROR(INDEX('予算シート'!$B:$B,MATCH(A29,'予算シート'!$A:$A,0)),"案件が未登録"))</f>
        <v/>
      </c>
      <c r="C29" s="17" t="n"/>
      <c r="D29" s="22">
        <f>IF(C29="","",IFERROR(INDEX('システム'!$B:$B,MATCH(C29,'システム'!$A:$A,0)),"システムが未登録"))</f>
        <v/>
      </c>
    </row>
    <row r="30">
      <c r="A30" s="17" t="n"/>
      <c r="B30" s="22">
        <f>IF(A30="","",IFERROR(INDEX('予算シート'!$B:$B,MATCH(A30,'予算シート'!$A:$A,0)),"案件が未登録"))</f>
        <v/>
      </c>
      <c r="C30" s="17" t="n"/>
      <c r="D30" s="22">
        <f>IF(C30="","",IFERROR(INDEX('システム'!$B:$B,MATCH(C30,'システム'!$A:$A,0)),"システムが未登録"))</f>
        <v/>
      </c>
    </row>
    <row r="31">
      <c r="A31" s="17" t="n"/>
      <c r="B31" s="22">
        <f>IF(A31="","",IFERROR(INDEX('予算シート'!$B:$B,MATCH(A31,'予算シート'!$A:$A,0)),"案件が未登録"))</f>
        <v/>
      </c>
      <c r="C31" s="17" t="n"/>
      <c r="D31" s="22">
        <f>IF(C31="","",IFERROR(INDEX('システム'!$B:$B,MATCH(C31,'システム'!$A:$A,0)),"システムが未登録"))</f>
        <v/>
      </c>
    </row>
    <row r="32">
      <c r="A32" s="17" t="n"/>
      <c r="B32" s="22">
        <f>IF(A32="","",IFERROR(INDEX('予算シート'!$B:$B,MATCH(A32,'予算シート'!$A:$A,0)),"案件が未登録"))</f>
        <v/>
      </c>
      <c r="C32" s="17" t="n"/>
      <c r="D32" s="22">
        <f>IF(C32="","",IFERROR(INDEX('システム'!$B:$B,MATCH(C32,'システム'!$A:$A,0)),"システムが未登録"))</f>
        <v/>
      </c>
    </row>
    <row r="33">
      <c r="A33" s="17" t="n"/>
      <c r="B33" s="22">
        <f>IF(A33="","",IFERROR(INDEX('予算シート'!$B:$B,MATCH(A33,'予算シート'!$A:$A,0)),"案件が未登録"))</f>
        <v/>
      </c>
      <c r="C33" s="17" t="n"/>
      <c r="D33" s="22">
        <f>IF(C33="","",IFERROR(INDEX('システム'!$B:$B,MATCH(C33,'システム'!$A:$A,0)),"システムが未登録"))</f>
        <v/>
      </c>
    </row>
    <row r="34">
      <c r="A34" s="17" t="n"/>
      <c r="B34" s="22">
        <f>IF(A34="","",IFERROR(INDEX('予算シート'!$B:$B,MATCH(A34,'予算シート'!$A:$A,0)),"案件が未登録"))</f>
        <v/>
      </c>
      <c r="C34" s="17" t="n"/>
      <c r="D34" s="22">
        <f>IF(C34="","",IFERROR(INDEX('システム'!$B:$B,MATCH(C34,'システム'!$A:$A,0)),"システムが未登録"))</f>
        <v/>
      </c>
    </row>
    <row r="35">
      <c r="A35" s="17" t="n"/>
      <c r="B35" s="22">
        <f>IF(A35="","",IFERROR(INDEX('予算シート'!$B:$B,MATCH(A35,'予算シート'!$A:$A,0)),"案件が未登録"))</f>
        <v/>
      </c>
      <c r="C35" s="17" t="n"/>
      <c r="D35" s="22">
        <f>IF(C35="","",IFERROR(INDEX('システム'!$B:$B,MATCH(C35,'システム'!$A:$A,0)),"システムが未登録"))</f>
        <v/>
      </c>
    </row>
    <row r="36">
      <c r="A36" s="17" t="n"/>
      <c r="B36" s="22">
        <f>IF(A36="","",IFERROR(INDEX('予算シート'!$B:$B,MATCH(A36,'予算シート'!$A:$A,0)),"案件が未登録"))</f>
        <v/>
      </c>
      <c r="C36" s="17" t="n"/>
      <c r="D36" s="22">
        <f>IF(C36="","",IFERROR(INDEX('システム'!$B:$B,MATCH(C36,'システム'!$A:$A,0)),"システムが未登録"))</f>
        <v/>
      </c>
    </row>
    <row r="37">
      <c r="A37" s="17" t="n"/>
      <c r="B37" s="22">
        <f>IF(A37="","",IFERROR(INDEX('予算シート'!$B:$B,MATCH(A37,'予算シート'!$A:$A,0)),"案件が未登録"))</f>
        <v/>
      </c>
      <c r="C37" s="17" t="n"/>
      <c r="D37" s="22">
        <f>IF(C37="","",IFERROR(INDEX('システム'!$B:$B,MATCH(C37,'システム'!$A:$A,0)),"システムが未登録"))</f>
        <v/>
      </c>
    </row>
    <row r="38">
      <c r="A38" s="17" t="n"/>
      <c r="B38" s="22">
        <f>IF(A38="","",IFERROR(INDEX('予算シート'!$B:$B,MATCH(A38,'予算シート'!$A:$A,0)),"案件が未登録"))</f>
        <v/>
      </c>
      <c r="C38" s="17" t="n"/>
      <c r="D38" s="22">
        <f>IF(C38="","",IFERROR(INDEX('システム'!$B:$B,MATCH(C38,'システム'!$A:$A,0)),"システムが未登録"))</f>
        <v/>
      </c>
    </row>
    <row r="39">
      <c r="A39" s="17" t="n"/>
      <c r="B39" s="22">
        <f>IF(A39="","",IFERROR(INDEX('予算シート'!$B:$B,MATCH(A39,'予算シート'!$A:$A,0)),"案件が未登録"))</f>
        <v/>
      </c>
      <c r="C39" s="17" t="n"/>
      <c r="D39" s="22">
        <f>IF(C39="","",IFERROR(INDEX('システム'!$B:$B,MATCH(C39,'システム'!$A:$A,0)),"システムが未登録"))</f>
        <v/>
      </c>
    </row>
    <row r="40">
      <c r="A40" s="17" t="n"/>
      <c r="B40" s="22">
        <f>IF(A40="","",IFERROR(INDEX('予算シート'!$B:$B,MATCH(A40,'予算シート'!$A:$A,0)),"案件が未登録"))</f>
        <v/>
      </c>
      <c r="C40" s="17" t="n"/>
      <c r="D40" s="22">
        <f>IF(C40="","",IFERROR(INDEX('システム'!$B:$B,MATCH(C40,'システム'!$A:$A,0)),"システムが未登録"))</f>
        <v/>
      </c>
    </row>
    <row r="41">
      <c r="A41" s="17" t="n"/>
      <c r="B41" s="22">
        <f>IF(A41="","",IFERROR(INDEX('予算シート'!$B:$B,MATCH(A41,'予算シート'!$A:$A,0)),"案件が未登録"))</f>
        <v/>
      </c>
      <c r="C41" s="17" t="n"/>
      <c r="D41" s="22">
        <f>IF(C41="","",IFERROR(INDEX('システム'!$B:$B,MATCH(C41,'システム'!$A:$A,0)),"システムが未登録"))</f>
        <v/>
      </c>
    </row>
    <row r="42">
      <c r="A42" s="17" t="n"/>
      <c r="B42" s="22">
        <f>IF(A42="","",IFERROR(INDEX('予算シート'!$B:$B,MATCH(A42,'予算シート'!$A:$A,0)),"案件が未登録"))</f>
        <v/>
      </c>
      <c r="C42" s="17" t="n"/>
      <c r="D42" s="22">
        <f>IF(C42="","",IFERROR(INDEX('システム'!$B:$B,MATCH(C42,'システム'!$A:$A,0)),"システムが未登録"))</f>
        <v/>
      </c>
    </row>
    <row r="43">
      <c r="A43" s="17" t="n"/>
      <c r="B43" s="22">
        <f>IF(A43="","",IFERROR(INDEX('予算シート'!$B:$B,MATCH(A43,'予算シート'!$A:$A,0)),"案件が未登録"))</f>
        <v/>
      </c>
      <c r="C43" s="17" t="n"/>
      <c r="D43" s="22">
        <f>IF(C43="","",IFERROR(INDEX('システム'!$B:$B,MATCH(C43,'システム'!$A:$A,0)),"システムが未登録"))</f>
        <v/>
      </c>
    </row>
    <row r="44">
      <c r="A44" s="17" t="n"/>
      <c r="B44" s="22">
        <f>IF(A44="","",IFERROR(INDEX('予算シート'!$B:$B,MATCH(A44,'予算シート'!$A:$A,0)),"案件が未登録"))</f>
        <v/>
      </c>
      <c r="C44" s="17" t="n"/>
      <c r="D44" s="22">
        <f>IF(C44="","",IFERROR(INDEX('システム'!$B:$B,MATCH(C44,'システム'!$A:$A,0)),"システムが未登録"))</f>
        <v/>
      </c>
    </row>
    <row r="45">
      <c r="A45" s="17" t="n"/>
      <c r="B45" s="22">
        <f>IF(A45="","",IFERROR(INDEX('予算シート'!$B:$B,MATCH(A45,'予算シート'!$A:$A,0)),"案件が未登録"))</f>
        <v/>
      </c>
      <c r="C45" s="17" t="n"/>
      <c r="D45" s="22">
        <f>IF(C45="","",IFERROR(INDEX('システム'!$B:$B,MATCH(C45,'システム'!$A:$A,0)),"システムが未登録"))</f>
        <v/>
      </c>
    </row>
    <row r="46">
      <c r="A46" s="17" t="n"/>
      <c r="B46" s="22">
        <f>IF(A46="","",IFERROR(INDEX('予算シート'!$B:$B,MATCH(A46,'予算シート'!$A:$A,0)),"案件が未登録"))</f>
        <v/>
      </c>
      <c r="C46" s="17" t="n"/>
      <c r="D46" s="22">
        <f>IF(C46="","",IFERROR(INDEX('システム'!$B:$B,MATCH(C46,'システム'!$A:$A,0)),"システムが未登録"))</f>
        <v/>
      </c>
    </row>
    <row r="47">
      <c r="A47" s="17" t="n"/>
      <c r="B47" s="22">
        <f>IF(A47="","",IFERROR(INDEX('予算シート'!$B:$B,MATCH(A47,'予算シート'!$A:$A,0)),"案件が未登録"))</f>
        <v/>
      </c>
      <c r="C47" s="17" t="n"/>
      <c r="D47" s="22">
        <f>IF(C47="","",IFERROR(INDEX('システム'!$B:$B,MATCH(C47,'システム'!$A:$A,0)),"システムが未登録"))</f>
        <v/>
      </c>
    </row>
    <row r="48">
      <c r="A48" s="17" t="n"/>
      <c r="B48" s="22">
        <f>IF(A48="","",IFERROR(INDEX('予算シート'!$B:$B,MATCH(A48,'予算シート'!$A:$A,0)),"案件が未登録"))</f>
        <v/>
      </c>
      <c r="C48" s="17" t="n"/>
      <c r="D48" s="22">
        <f>IF(C48="","",IFERROR(INDEX('システム'!$B:$B,MATCH(C48,'システム'!$A:$A,0)),"システムが未登録"))</f>
        <v/>
      </c>
    </row>
    <row r="49">
      <c r="A49" s="17" t="n"/>
      <c r="B49" s="22">
        <f>IF(A49="","",IFERROR(INDEX('予算シート'!$B:$B,MATCH(A49,'予算シート'!$A:$A,0)),"案件が未登録"))</f>
        <v/>
      </c>
      <c r="C49" s="17" t="n"/>
      <c r="D49" s="22">
        <f>IF(C49="","",IFERROR(INDEX('システム'!$B:$B,MATCH(C49,'システム'!$A:$A,0)),"システムが未登録"))</f>
        <v/>
      </c>
    </row>
    <row r="50">
      <c r="A50" s="17" t="n"/>
      <c r="B50" s="22">
        <f>IF(A50="","",IFERROR(INDEX('予算シート'!$B:$B,MATCH(A50,'予算シート'!$A:$A,0)),"案件が未登録"))</f>
        <v/>
      </c>
      <c r="C50" s="17" t="n"/>
      <c r="D50" s="22">
        <f>IF(C50="","",IFERROR(INDEX('システム'!$B:$B,MATCH(C50,'システム'!$A:$A,0)),"システムが未登録"))</f>
        <v/>
      </c>
    </row>
    <row r="51">
      <c r="A51" s="17" t="n"/>
      <c r="B51" s="22">
        <f>IF(A51="","",IFERROR(INDEX('予算シート'!$B:$B,MATCH(A51,'予算シート'!$A:$A,0)),"案件が未登録"))</f>
        <v/>
      </c>
      <c r="C51" s="17" t="n"/>
      <c r="D51" s="22">
        <f>IF(C51="","",IFERROR(INDEX('システム'!$B:$B,MATCH(C51,'システム'!$A:$A,0)),"システムが未登録"))</f>
        <v/>
      </c>
    </row>
    <row r="52">
      <c r="A52" s="17" t="n"/>
      <c r="B52" s="22">
        <f>IF(A52="","",IFERROR(INDEX('予算シート'!$B:$B,MATCH(A52,'予算シート'!$A:$A,0)),"案件が未登録"))</f>
        <v/>
      </c>
      <c r="C52" s="17" t="n"/>
      <c r="D52" s="22">
        <f>IF(C52="","",IFERROR(INDEX('システム'!$B:$B,MATCH(C52,'システム'!$A:$A,0)),"システムが未登録"))</f>
        <v/>
      </c>
    </row>
    <row r="53">
      <c r="A53" s="17" t="n"/>
      <c r="B53" s="22">
        <f>IF(A53="","",IFERROR(INDEX('予算シート'!$B:$B,MATCH(A53,'予算シート'!$A:$A,0)),"案件が未登録"))</f>
        <v/>
      </c>
      <c r="C53" s="17" t="n"/>
      <c r="D53" s="22">
        <f>IF(C53="","",IFERROR(INDEX('システム'!$B:$B,MATCH(C53,'システム'!$A:$A,0)),"システムが未登録"))</f>
        <v/>
      </c>
    </row>
    <row r="54">
      <c r="A54" s="17" t="n"/>
      <c r="B54" s="22">
        <f>IF(A54="","",IFERROR(INDEX('予算シート'!$B:$B,MATCH(A54,'予算シート'!$A:$A,0)),"案件が未登録"))</f>
        <v/>
      </c>
      <c r="C54" s="17" t="n"/>
      <c r="D54" s="22">
        <f>IF(C54="","",IFERROR(INDEX('システム'!$B:$B,MATCH(C54,'システム'!$A:$A,0)),"システムが未登録"))</f>
        <v/>
      </c>
    </row>
    <row r="55">
      <c r="A55" s="17" t="n"/>
      <c r="B55" s="22">
        <f>IF(A55="","",IFERROR(INDEX('予算シート'!$B:$B,MATCH(A55,'予算シート'!$A:$A,0)),"案件が未登録"))</f>
        <v/>
      </c>
      <c r="C55" s="17" t="n"/>
      <c r="D55" s="22">
        <f>IF(C55="","",IFERROR(INDEX('システム'!$B:$B,MATCH(C55,'システム'!$A:$A,0)),"システムが未登録"))</f>
        <v/>
      </c>
    </row>
    <row r="56">
      <c r="A56" s="17" t="n"/>
      <c r="B56" s="22">
        <f>IF(A56="","",IFERROR(INDEX('予算シート'!$B:$B,MATCH(A56,'予算シート'!$A:$A,0)),"案件が未登録"))</f>
        <v/>
      </c>
      <c r="C56" s="17" t="n"/>
      <c r="D56" s="22">
        <f>IF(C56="","",IFERROR(INDEX('システム'!$B:$B,MATCH(C56,'システム'!$A:$A,0)),"システムが未登録"))</f>
        <v/>
      </c>
    </row>
    <row r="57">
      <c r="A57" s="17" t="n"/>
      <c r="B57" s="22">
        <f>IF(A57="","",IFERROR(INDEX('予算シート'!$B:$B,MATCH(A57,'予算シート'!$A:$A,0)),"案件が未登録"))</f>
        <v/>
      </c>
      <c r="C57" s="17" t="n"/>
      <c r="D57" s="22">
        <f>IF(C57="","",IFERROR(INDEX('システム'!$B:$B,MATCH(C57,'システム'!$A:$A,0)),"システムが未登録"))</f>
        <v/>
      </c>
    </row>
    <row r="58">
      <c r="A58" s="17" t="n"/>
      <c r="B58" s="22">
        <f>IF(A58="","",IFERROR(INDEX('予算シート'!$B:$B,MATCH(A58,'予算シート'!$A:$A,0)),"案件が未登録"))</f>
        <v/>
      </c>
      <c r="C58" s="17" t="n"/>
      <c r="D58" s="22">
        <f>IF(C58="","",IFERROR(INDEX('システム'!$B:$B,MATCH(C58,'システム'!$A:$A,0)),"システムが未登録"))</f>
        <v/>
      </c>
    </row>
    <row r="59">
      <c r="A59" s="17" t="n"/>
      <c r="B59" s="22">
        <f>IF(A59="","",IFERROR(INDEX('予算シート'!$B:$B,MATCH(A59,'予算シート'!$A:$A,0)),"案件が未登録"))</f>
        <v/>
      </c>
      <c r="C59" s="17" t="n"/>
      <c r="D59" s="22">
        <f>IF(C59="","",IFERROR(INDEX('システム'!$B:$B,MATCH(C59,'システム'!$A:$A,0)),"システムが未登録"))</f>
        <v/>
      </c>
    </row>
    <row r="60">
      <c r="A60" s="17" t="n"/>
      <c r="B60" s="22">
        <f>IF(A60="","",IFERROR(INDEX('予算シート'!$B:$B,MATCH(A60,'予算シート'!$A:$A,0)),"案件が未登録"))</f>
        <v/>
      </c>
      <c r="C60" s="17" t="n"/>
      <c r="D60" s="22">
        <f>IF(C60="","",IFERROR(INDEX('システム'!$B:$B,MATCH(C60,'システム'!$A:$A,0)),"システムが未登録"))</f>
        <v/>
      </c>
    </row>
    <row r="61">
      <c r="A61" s="17" t="n"/>
      <c r="B61" s="22">
        <f>IF(A61="","",IFERROR(INDEX('予算シート'!$B:$B,MATCH(A61,'予算シート'!$A:$A,0)),"案件が未登録"))</f>
        <v/>
      </c>
      <c r="C61" s="17" t="n"/>
      <c r="D61" s="22">
        <f>IF(C61="","",IFERROR(INDEX('システム'!$B:$B,MATCH(C61,'システム'!$A:$A,0)),"システムが未登録"))</f>
        <v/>
      </c>
    </row>
    <row r="62">
      <c r="A62" s="17" t="n"/>
      <c r="B62" s="22">
        <f>IF(A62="","",IFERROR(INDEX('予算シート'!$B:$B,MATCH(A62,'予算シート'!$A:$A,0)),"案件が未登録"))</f>
        <v/>
      </c>
      <c r="C62" s="17" t="n"/>
      <c r="D62" s="22">
        <f>IF(C62="","",IFERROR(INDEX('システム'!$B:$B,MATCH(C62,'システム'!$A:$A,0)),"システムが未登録"))</f>
        <v/>
      </c>
    </row>
    <row r="63">
      <c r="A63" s="17" t="n"/>
      <c r="B63" s="22">
        <f>IF(A63="","",IFERROR(INDEX('予算シート'!$B:$B,MATCH(A63,'予算シート'!$A:$A,0)),"案件が未登録"))</f>
        <v/>
      </c>
      <c r="C63" s="17" t="n"/>
      <c r="D63" s="22">
        <f>IF(C63="","",IFERROR(INDEX('システム'!$B:$B,MATCH(C63,'システム'!$A:$A,0)),"システムが未登録"))</f>
        <v/>
      </c>
    </row>
    <row r="64">
      <c r="A64" s="17" t="n"/>
      <c r="B64" s="22">
        <f>IF(A64="","",IFERROR(INDEX('予算シート'!$B:$B,MATCH(A64,'予算シート'!$A:$A,0)),"案件が未登録"))</f>
        <v/>
      </c>
      <c r="C64" s="17" t="n"/>
      <c r="D64" s="22">
        <f>IF(C64="","",IFERROR(INDEX('システム'!$B:$B,MATCH(C64,'システム'!$A:$A,0)),"システムが未登録"))</f>
        <v/>
      </c>
    </row>
    <row r="65">
      <c r="A65" s="17" t="n"/>
      <c r="B65" s="22">
        <f>IF(A65="","",IFERROR(INDEX('予算シート'!$B:$B,MATCH(A65,'予算シート'!$A:$A,0)),"案件が未登録"))</f>
        <v/>
      </c>
      <c r="C65" s="17" t="n"/>
      <c r="D65" s="22">
        <f>IF(C65="","",IFERROR(INDEX('システム'!$B:$B,MATCH(C65,'システム'!$A:$A,0)),"システムが未登録"))</f>
        <v/>
      </c>
    </row>
    <row r="66">
      <c r="A66" s="17" t="n"/>
      <c r="B66" s="22">
        <f>IF(A66="","",IFERROR(INDEX('予算シート'!$B:$B,MATCH(A66,'予算シート'!$A:$A,0)),"案件が未登録"))</f>
        <v/>
      </c>
      <c r="C66" s="17" t="n"/>
      <c r="D66" s="22">
        <f>IF(C66="","",IFERROR(INDEX('システム'!$B:$B,MATCH(C66,'システム'!$A:$A,0)),"システムが未登録"))</f>
        <v/>
      </c>
    </row>
    <row r="67">
      <c r="A67" s="17" t="n"/>
      <c r="B67" s="22">
        <f>IF(A67="","",IFERROR(INDEX('予算シート'!$B:$B,MATCH(A67,'予算シート'!$A:$A,0)),"案件が未登録"))</f>
        <v/>
      </c>
      <c r="C67" s="17" t="n"/>
      <c r="D67" s="22">
        <f>IF(C67="","",IFERROR(INDEX('システム'!$B:$B,MATCH(C67,'システム'!$A:$A,0)),"システムが未登録"))</f>
        <v/>
      </c>
    </row>
    <row r="68">
      <c r="A68" s="17" t="n"/>
      <c r="B68" s="22">
        <f>IF(A68="","",IFERROR(INDEX('予算シート'!$B:$B,MATCH(A68,'予算シート'!$A:$A,0)),"案件が未登録"))</f>
        <v/>
      </c>
      <c r="C68" s="17" t="n"/>
      <c r="D68" s="22">
        <f>IF(C68="","",IFERROR(INDEX('システム'!$B:$B,MATCH(C68,'システム'!$A:$A,0)),"システムが未登録"))</f>
        <v/>
      </c>
    </row>
    <row r="69">
      <c r="A69" s="17" t="n"/>
      <c r="B69" s="22">
        <f>IF(A69="","",IFERROR(INDEX('予算シート'!$B:$B,MATCH(A69,'予算シート'!$A:$A,0)),"案件が未登録"))</f>
        <v/>
      </c>
      <c r="C69" s="17" t="n"/>
      <c r="D69" s="22">
        <f>IF(C69="","",IFERROR(INDEX('システム'!$B:$B,MATCH(C69,'システム'!$A:$A,0)),"システムが未登録"))</f>
        <v/>
      </c>
    </row>
    <row r="70">
      <c r="A70" s="17" t="n"/>
      <c r="B70" s="22">
        <f>IF(A70="","",IFERROR(INDEX('予算シート'!$B:$B,MATCH(A70,'予算シート'!$A:$A,0)),"案件が未登録"))</f>
        <v/>
      </c>
      <c r="C70" s="17" t="n"/>
      <c r="D70" s="22">
        <f>IF(C70="","",IFERROR(INDEX('システム'!$B:$B,MATCH(C70,'システム'!$A:$A,0)),"システムが未登録"))</f>
        <v/>
      </c>
    </row>
    <row r="71">
      <c r="A71" s="17" t="n"/>
      <c r="B71" s="22">
        <f>IF(A71="","",IFERROR(INDEX('予算シート'!$B:$B,MATCH(A71,'予算シート'!$A:$A,0)),"案件が未登録"))</f>
        <v/>
      </c>
      <c r="C71" s="17" t="n"/>
      <c r="D71" s="22">
        <f>IF(C71="","",IFERROR(INDEX('システム'!$B:$B,MATCH(C71,'システム'!$A:$A,0)),"システムが未登録"))</f>
        <v/>
      </c>
    </row>
    <row r="72">
      <c r="A72" s="17" t="n"/>
      <c r="B72" s="22">
        <f>IF(A72="","",IFERROR(INDEX('予算シート'!$B:$B,MATCH(A72,'予算シート'!$A:$A,0)),"案件が未登録"))</f>
        <v/>
      </c>
      <c r="C72" s="17" t="n"/>
      <c r="D72" s="22">
        <f>IF(C72="","",IFERROR(INDEX('システム'!$B:$B,MATCH(C72,'システム'!$A:$A,0)),"システムが未登録"))</f>
        <v/>
      </c>
    </row>
    <row r="73">
      <c r="A73" s="17" t="n"/>
      <c r="B73" s="22">
        <f>IF(A73="","",IFERROR(INDEX('予算シート'!$B:$B,MATCH(A73,'予算シート'!$A:$A,0)),"案件が未登録"))</f>
        <v/>
      </c>
      <c r="C73" s="17" t="n"/>
      <c r="D73" s="22">
        <f>IF(C73="","",IFERROR(INDEX('システム'!$B:$B,MATCH(C73,'システム'!$A:$A,0)),"システムが未登録"))</f>
        <v/>
      </c>
    </row>
    <row r="74">
      <c r="A74" s="17" t="n"/>
      <c r="B74" s="22">
        <f>IF(A74="","",IFERROR(INDEX('予算シート'!$B:$B,MATCH(A74,'予算シート'!$A:$A,0)),"案件が未登録"))</f>
        <v/>
      </c>
      <c r="C74" s="17" t="n"/>
      <c r="D74" s="22">
        <f>IF(C74="","",IFERROR(INDEX('システム'!$B:$B,MATCH(C74,'システム'!$A:$A,0)),"システムが未登録"))</f>
        <v/>
      </c>
    </row>
    <row r="75">
      <c r="A75" s="17" t="n"/>
      <c r="B75" s="22">
        <f>IF(A75="","",IFERROR(INDEX('予算シート'!$B:$B,MATCH(A75,'予算シート'!$A:$A,0)),"案件が未登録"))</f>
        <v/>
      </c>
      <c r="C75" s="17" t="n"/>
      <c r="D75" s="22">
        <f>IF(C75="","",IFERROR(INDEX('システム'!$B:$B,MATCH(C75,'システム'!$A:$A,0)),"システムが未登録"))</f>
        <v/>
      </c>
    </row>
    <row r="76">
      <c r="A76" s="17" t="n"/>
      <c r="B76" s="22">
        <f>IF(A76="","",IFERROR(INDEX('予算シート'!$B:$B,MATCH(A76,'予算シート'!$A:$A,0)),"案件が未登録"))</f>
        <v/>
      </c>
      <c r="C76" s="17" t="n"/>
      <c r="D76" s="22">
        <f>IF(C76="","",IFERROR(INDEX('システム'!$B:$B,MATCH(C76,'システム'!$A:$A,0)),"システムが未登録"))</f>
        <v/>
      </c>
    </row>
    <row r="77">
      <c r="A77" s="17" t="n"/>
      <c r="B77" s="22">
        <f>IF(A77="","",IFERROR(INDEX('予算シート'!$B:$B,MATCH(A77,'予算シート'!$A:$A,0)),"案件が未登録"))</f>
        <v/>
      </c>
      <c r="C77" s="17" t="n"/>
      <c r="D77" s="22">
        <f>IF(C77="","",IFERROR(INDEX('システム'!$B:$B,MATCH(C77,'システム'!$A:$A,0)),"システムが未登録"))</f>
        <v/>
      </c>
    </row>
    <row r="78">
      <c r="A78" s="17" t="n"/>
      <c r="B78" s="22">
        <f>IF(A78="","",IFERROR(INDEX('予算シート'!$B:$B,MATCH(A78,'予算シート'!$A:$A,0)),"案件が未登録"))</f>
        <v/>
      </c>
      <c r="C78" s="17" t="n"/>
      <c r="D78" s="22">
        <f>IF(C78="","",IFERROR(INDEX('システム'!$B:$B,MATCH(C78,'システム'!$A:$A,0)),"システムが未登録"))</f>
        <v/>
      </c>
    </row>
    <row r="79">
      <c r="A79" s="17" t="n"/>
      <c r="B79" s="22">
        <f>IF(A79="","",IFERROR(INDEX('予算シート'!$B:$B,MATCH(A79,'予算シート'!$A:$A,0)),"案件が未登録"))</f>
        <v/>
      </c>
      <c r="C79" s="17" t="n"/>
      <c r="D79" s="22">
        <f>IF(C79="","",IFERROR(INDEX('システム'!$B:$B,MATCH(C79,'システム'!$A:$A,0)),"システムが未登録"))</f>
        <v/>
      </c>
    </row>
    <row r="80">
      <c r="A80" s="17" t="n"/>
      <c r="B80" s="22">
        <f>IF(A80="","",IFERROR(INDEX('予算シート'!$B:$B,MATCH(A80,'予算シート'!$A:$A,0)),"案件が未登録"))</f>
        <v/>
      </c>
      <c r="C80" s="17" t="n"/>
      <c r="D80" s="22">
        <f>IF(C80="","",IFERROR(INDEX('システム'!$B:$B,MATCH(C80,'システム'!$A:$A,0)),"システムが未登録"))</f>
        <v/>
      </c>
    </row>
    <row r="81">
      <c r="A81" s="17" t="n"/>
      <c r="B81" s="22">
        <f>IF(A81="","",IFERROR(INDEX('予算シート'!$B:$B,MATCH(A81,'予算シート'!$A:$A,0)),"案件が未登録"))</f>
        <v/>
      </c>
      <c r="C81" s="17" t="n"/>
      <c r="D81" s="22">
        <f>IF(C81="","",IFERROR(INDEX('システム'!$B:$B,MATCH(C81,'システム'!$A:$A,0)),"システムが未登録"))</f>
        <v/>
      </c>
    </row>
    <row r="82">
      <c r="A82" s="17" t="n"/>
      <c r="B82" s="22">
        <f>IF(A82="","",IFERROR(INDEX('予算シート'!$B:$B,MATCH(A82,'予算シート'!$A:$A,0)),"案件が未登録"))</f>
        <v/>
      </c>
      <c r="C82" s="17" t="n"/>
      <c r="D82" s="22">
        <f>IF(C82="","",IFERROR(INDEX('システム'!$B:$B,MATCH(C82,'システム'!$A:$A,0)),"システムが未登録"))</f>
        <v/>
      </c>
    </row>
    <row r="83">
      <c r="A83" s="17" t="n"/>
      <c r="B83" s="22">
        <f>IF(A83="","",IFERROR(INDEX('予算シート'!$B:$B,MATCH(A83,'予算シート'!$A:$A,0)),"案件が未登録"))</f>
        <v/>
      </c>
      <c r="C83" s="17" t="n"/>
      <c r="D83" s="22">
        <f>IF(C83="","",IFERROR(INDEX('システム'!$B:$B,MATCH(C83,'システム'!$A:$A,0)),"システムが未登録"))</f>
        <v/>
      </c>
    </row>
    <row r="84">
      <c r="A84" s="17" t="n"/>
      <c r="B84" s="22">
        <f>IF(A84="","",IFERROR(INDEX('予算シート'!$B:$B,MATCH(A84,'予算シート'!$A:$A,0)),"案件が未登録"))</f>
        <v/>
      </c>
      <c r="C84" s="17" t="n"/>
      <c r="D84" s="22">
        <f>IF(C84="","",IFERROR(INDEX('システム'!$B:$B,MATCH(C84,'システム'!$A:$A,0)),"システムが未登録"))</f>
        <v/>
      </c>
    </row>
    <row r="85">
      <c r="A85" s="17" t="n"/>
      <c r="B85" s="22">
        <f>IF(A85="","",IFERROR(INDEX('予算シート'!$B:$B,MATCH(A85,'予算シート'!$A:$A,0)),"案件が未登録"))</f>
        <v/>
      </c>
      <c r="C85" s="17" t="n"/>
      <c r="D85" s="22">
        <f>IF(C85="","",IFERROR(INDEX('システム'!$B:$B,MATCH(C85,'システム'!$A:$A,0)),"システムが未登録"))</f>
        <v/>
      </c>
    </row>
    <row r="86">
      <c r="A86" s="17" t="n"/>
      <c r="B86" s="22">
        <f>IF(A86="","",IFERROR(INDEX('予算シート'!$B:$B,MATCH(A86,'予算シート'!$A:$A,0)),"案件が未登録"))</f>
        <v/>
      </c>
      <c r="C86" s="17" t="n"/>
      <c r="D86" s="22">
        <f>IF(C86="","",IFERROR(INDEX('システム'!$B:$B,MATCH(C86,'システム'!$A:$A,0)),"システムが未登録"))</f>
        <v/>
      </c>
    </row>
    <row r="87">
      <c r="A87" s="17" t="n"/>
      <c r="B87" s="22">
        <f>IF(A87="","",IFERROR(INDEX('予算シート'!$B:$B,MATCH(A87,'予算シート'!$A:$A,0)),"案件が未登録"))</f>
        <v/>
      </c>
      <c r="C87" s="17" t="n"/>
      <c r="D87" s="22">
        <f>IF(C87="","",IFERROR(INDEX('システム'!$B:$B,MATCH(C87,'システム'!$A:$A,0)),"システムが未登録"))</f>
        <v/>
      </c>
    </row>
    <row r="88">
      <c r="A88" s="17" t="n"/>
      <c r="B88" s="22">
        <f>IF(A88="","",IFERROR(INDEX('予算シート'!$B:$B,MATCH(A88,'予算シート'!$A:$A,0)),"案件が未登録"))</f>
        <v/>
      </c>
      <c r="C88" s="17" t="n"/>
      <c r="D88" s="22">
        <f>IF(C88="","",IFERROR(INDEX('システム'!$B:$B,MATCH(C88,'システム'!$A:$A,0)),"システムが未登録"))</f>
        <v/>
      </c>
    </row>
    <row r="89">
      <c r="A89" s="17" t="n"/>
      <c r="B89" s="22">
        <f>IF(A89="","",IFERROR(INDEX('予算シート'!$B:$B,MATCH(A89,'予算シート'!$A:$A,0)),"案件が未登録"))</f>
        <v/>
      </c>
      <c r="C89" s="17" t="n"/>
      <c r="D89" s="22">
        <f>IF(C89="","",IFERROR(INDEX('システム'!$B:$B,MATCH(C89,'システム'!$A:$A,0)),"システムが未登録"))</f>
        <v/>
      </c>
    </row>
    <row r="90">
      <c r="A90" s="17" t="n"/>
      <c r="B90" s="22">
        <f>IF(A90="","",IFERROR(INDEX('予算シート'!$B:$B,MATCH(A90,'予算シート'!$A:$A,0)),"案件が未登録"))</f>
        <v/>
      </c>
      <c r="C90" s="17" t="n"/>
      <c r="D90" s="22">
        <f>IF(C90="","",IFERROR(INDEX('システム'!$B:$B,MATCH(C90,'システム'!$A:$A,0)),"システムが未登録"))</f>
        <v/>
      </c>
    </row>
    <row r="91">
      <c r="A91" s="17" t="n"/>
      <c r="B91" s="22">
        <f>IF(A91="","",IFERROR(INDEX('予算シート'!$B:$B,MATCH(A91,'予算シート'!$A:$A,0)),"案件が未登録"))</f>
        <v/>
      </c>
      <c r="C91" s="17" t="n"/>
      <c r="D91" s="22">
        <f>IF(C91="","",IFERROR(INDEX('システム'!$B:$B,MATCH(C91,'システム'!$A:$A,0)),"システムが未登録"))</f>
        <v/>
      </c>
    </row>
    <row r="92">
      <c r="A92" s="17" t="n"/>
      <c r="B92" s="22">
        <f>IF(A92="","",IFERROR(INDEX('予算シート'!$B:$B,MATCH(A92,'予算シート'!$A:$A,0)),"案件が未登録"))</f>
        <v/>
      </c>
      <c r="C92" s="17" t="n"/>
      <c r="D92" s="22">
        <f>IF(C92="","",IFERROR(INDEX('システム'!$B:$B,MATCH(C92,'システム'!$A:$A,0)),"システムが未登録"))</f>
        <v/>
      </c>
    </row>
    <row r="93">
      <c r="A93" s="17" t="n"/>
      <c r="B93" s="22">
        <f>IF(A93="","",IFERROR(INDEX('予算シート'!$B:$B,MATCH(A93,'予算シート'!$A:$A,0)),"案件が未登録"))</f>
        <v/>
      </c>
      <c r="C93" s="17" t="n"/>
      <c r="D93" s="22">
        <f>IF(C93="","",IFERROR(INDEX('システム'!$B:$B,MATCH(C93,'システム'!$A:$A,0)),"システムが未登録"))</f>
        <v/>
      </c>
    </row>
    <row r="94">
      <c r="A94" s="17" t="n"/>
      <c r="B94" s="22">
        <f>IF(A94="","",IFERROR(INDEX('予算シート'!$B:$B,MATCH(A94,'予算シート'!$A:$A,0)),"案件が未登録"))</f>
        <v/>
      </c>
      <c r="C94" s="17" t="n"/>
      <c r="D94" s="22">
        <f>IF(C94="","",IFERROR(INDEX('システム'!$B:$B,MATCH(C94,'システム'!$A:$A,0)),"システムが未登録"))</f>
        <v/>
      </c>
    </row>
    <row r="95">
      <c r="A95" s="17" t="n"/>
      <c r="B95" s="22">
        <f>IF(A95="","",IFERROR(INDEX('予算シート'!$B:$B,MATCH(A95,'予算シート'!$A:$A,0)),"案件が未登録"))</f>
        <v/>
      </c>
      <c r="C95" s="17" t="n"/>
      <c r="D95" s="22">
        <f>IF(C95="","",IFERROR(INDEX('システム'!$B:$B,MATCH(C95,'システム'!$A:$A,0)),"システムが未登録"))</f>
        <v/>
      </c>
    </row>
    <row r="96">
      <c r="A96" s="17" t="n"/>
      <c r="B96" s="22">
        <f>IF(A96="","",IFERROR(INDEX('予算シート'!$B:$B,MATCH(A96,'予算シート'!$A:$A,0)),"案件が未登録"))</f>
        <v/>
      </c>
      <c r="C96" s="17" t="n"/>
      <c r="D96" s="22">
        <f>IF(C96="","",IFERROR(INDEX('システム'!$B:$B,MATCH(C96,'システム'!$A:$A,0)),"システムが未登録"))</f>
        <v/>
      </c>
    </row>
    <row r="97">
      <c r="A97" s="17" t="n"/>
      <c r="B97" s="22">
        <f>IF(A97="","",IFERROR(INDEX('予算シート'!$B:$B,MATCH(A97,'予算シート'!$A:$A,0)),"案件が未登録"))</f>
        <v/>
      </c>
      <c r="C97" s="17" t="n"/>
      <c r="D97" s="22">
        <f>IF(C97="","",IFERROR(INDEX('システム'!$B:$B,MATCH(C97,'システム'!$A:$A,0)),"システムが未登録"))</f>
        <v/>
      </c>
    </row>
    <row r="98">
      <c r="A98" s="17" t="n"/>
      <c r="B98" s="22">
        <f>IF(A98="","",IFERROR(INDEX('予算シート'!$B:$B,MATCH(A98,'予算シート'!$A:$A,0)),"案件が未登録"))</f>
        <v/>
      </c>
      <c r="C98" s="17" t="n"/>
      <c r="D98" s="22">
        <f>IF(C98="","",IFERROR(INDEX('システム'!$B:$B,MATCH(C98,'システム'!$A:$A,0)),"システムが未登録"))</f>
        <v/>
      </c>
    </row>
    <row r="99">
      <c r="A99" s="17" t="n"/>
      <c r="B99" s="22">
        <f>IF(A99="","",IFERROR(INDEX('予算シート'!$B:$B,MATCH(A99,'予算シート'!$A:$A,0)),"案件が未登録"))</f>
        <v/>
      </c>
      <c r="C99" s="17" t="n"/>
      <c r="D99" s="22">
        <f>IF(C99="","",IFERROR(INDEX('システム'!$B:$B,MATCH(C99,'システム'!$A:$A,0)),"システムが未登録"))</f>
        <v/>
      </c>
    </row>
    <row r="100">
      <c r="A100" s="17" t="n"/>
      <c r="B100" s="22">
        <f>IF(A100="","",IFERROR(INDEX('予算シート'!$B:$B,MATCH(A100,'予算シート'!$A:$A,0)),"案件が未登録"))</f>
        <v/>
      </c>
      <c r="C100" s="17" t="n"/>
      <c r="D100" s="22">
        <f>IF(C100="","",IFERROR(INDEX('システム'!$B:$B,MATCH(C100,'システム'!$A:$A,0)),"システムが未登録"))</f>
        <v/>
      </c>
    </row>
    <row r="101">
      <c r="A101" s="17" t="n"/>
      <c r="B101" s="22">
        <f>IF(A101="","",IFERROR(INDEX('予算シート'!$B:$B,MATCH(A101,'予算シート'!$A:$A,0)),"案件が未登録"))</f>
        <v/>
      </c>
      <c r="C101" s="17" t="n"/>
      <c r="D101" s="22">
        <f>IF(C101="","",IFERROR(INDEX('システム'!$B:$B,MATCH(C101,'システム'!$A:$A,0)),"システムが未登録"))</f>
        <v/>
      </c>
    </row>
    <row r="102">
      <c r="A102" s="17" t="n"/>
      <c r="B102" s="22">
        <f>IF(A102="","",IFERROR(INDEX('予算シート'!$B:$B,MATCH(A102,'予算シート'!$A:$A,0)),"案件が未登録"))</f>
        <v/>
      </c>
      <c r="C102" s="17" t="n"/>
      <c r="D102" s="22">
        <f>IF(C102="","",IFERROR(INDEX('システム'!$B:$B,MATCH(C102,'システム'!$A:$A,0)),"システムが未登録"))</f>
        <v/>
      </c>
    </row>
    <row r="103">
      <c r="A103" s="17" t="n"/>
      <c r="B103" s="22">
        <f>IF(A103="","",IFERROR(INDEX('予算シート'!$B:$B,MATCH(A103,'予算シート'!$A:$A,0)),"案件が未登録"))</f>
        <v/>
      </c>
      <c r="C103" s="17" t="n"/>
      <c r="D103" s="22">
        <f>IF(C103="","",IFERROR(INDEX('システム'!$B:$B,MATCH(C103,'システム'!$A:$A,0)),"システムが未登録"))</f>
        <v/>
      </c>
    </row>
    <row r="104">
      <c r="A104" s="17" t="n"/>
      <c r="B104" s="22">
        <f>IF(A104="","",IFERROR(INDEX('予算シート'!$B:$B,MATCH(A104,'予算シート'!$A:$A,0)),"案件が未登録"))</f>
        <v/>
      </c>
      <c r="C104" s="17" t="n"/>
      <c r="D104" s="22">
        <f>IF(C104="","",IFERROR(INDEX('システム'!$B:$B,MATCH(C104,'システム'!$A:$A,0)),"システムが未登録"))</f>
        <v/>
      </c>
    </row>
    <row r="105">
      <c r="A105" s="17" t="n"/>
      <c r="B105" s="22">
        <f>IF(A105="","",IFERROR(INDEX('予算シート'!$B:$B,MATCH(A105,'予算シート'!$A:$A,0)),"案件が未登録"))</f>
        <v/>
      </c>
      <c r="C105" s="17" t="n"/>
      <c r="D105" s="22">
        <f>IF(C105="","",IFERROR(INDEX('システム'!$B:$B,MATCH(C105,'システム'!$A:$A,0)),"システムが未登録"))</f>
        <v/>
      </c>
    </row>
    <row r="106">
      <c r="A106" s="17" t="n"/>
      <c r="B106" s="22">
        <f>IF(A106="","",IFERROR(INDEX('予算シート'!$B:$B,MATCH(A106,'予算シート'!$A:$A,0)),"案件が未登録"))</f>
        <v/>
      </c>
      <c r="C106" s="17" t="n"/>
      <c r="D106" s="22">
        <f>IF(C106="","",IFERROR(INDEX('システム'!$B:$B,MATCH(C106,'システム'!$A:$A,0)),"システムが未登録"))</f>
        <v/>
      </c>
    </row>
    <row r="107">
      <c r="A107" s="17" t="n"/>
      <c r="B107" s="22">
        <f>IF(A107="","",IFERROR(INDEX('予算シート'!$B:$B,MATCH(A107,'予算シート'!$A:$A,0)),"案件が未登録"))</f>
        <v/>
      </c>
      <c r="C107" s="17" t="n"/>
      <c r="D107" s="22">
        <f>IF(C107="","",IFERROR(INDEX('システム'!$B:$B,MATCH(C107,'システム'!$A:$A,0)),"システムが未登録"))</f>
        <v/>
      </c>
    </row>
    <row r="108">
      <c r="A108" s="17" t="n"/>
      <c r="B108" s="22">
        <f>IF(A108="","",IFERROR(INDEX('予算シート'!$B:$B,MATCH(A108,'予算シート'!$A:$A,0)),"案件が未登録"))</f>
        <v/>
      </c>
      <c r="C108" s="17" t="n"/>
      <c r="D108" s="22">
        <f>IF(C108="","",IFERROR(INDEX('システム'!$B:$B,MATCH(C108,'システム'!$A:$A,0)),"システムが未登録"))</f>
        <v/>
      </c>
    </row>
    <row r="109">
      <c r="A109" s="17" t="n"/>
      <c r="B109" s="22">
        <f>IF(A109="","",IFERROR(INDEX('予算シート'!$B:$B,MATCH(A109,'予算シート'!$A:$A,0)),"案件が未登録"))</f>
        <v/>
      </c>
      <c r="C109" s="17" t="n"/>
      <c r="D109" s="22">
        <f>IF(C109="","",IFERROR(INDEX('システム'!$B:$B,MATCH(C109,'システム'!$A:$A,0)),"システムが未登録"))</f>
        <v/>
      </c>
    </row>
    <row r="110">
      <c r="A110" s="17" t="n"/>
      <c r="B110" s="22">
        <f>IF(A110="","",IFERROR(INDEX('予算シート'!$B:$B,MATCH(A110,'予算シート'!$A:$A,0)),"案件が未登録"))</f>
        <v/>
      </c>
      <c r="C110" s="17" t="n"/>
      <c r="D110" s="22">
        <f>IF(C110="","",IFERROR(INDEX('システム'!$B:$B,MATCH(C110,'システム'!$A:$A,0)),"システムが未登録"))</f>
        <v/>
      </c>
    </row>
    <row r="111">
      <c r="A111" s="17" t="n"/>
      <c r="B111" s="22">
        <f>IF(A111="","",IFERROR(INDEX('予算シート'!$B:$B,MATCH(A111,'予算シート'!$A:$A,0)),"案件が未登録"))</f>
        <v/>
      </c>
      <c r="C111" s="17" t="n"/>
      <c r="D111" s="22">
        <f>IF(C111="","",IFERROR(INDEX('システム'!$B:$B,MATCH(C111,'システム'!$A:$A,0)),"システムが未登録"))</f>
        <v/>
      </c>
    </row>
    <row r="112">
      <c r="A112" s="17" t="n"/>
      <c r="B112" s="22">
        <f>IF(A112="","",IFERROR(INDEX('予算シート'!$B:$B,MATCH(A112,'予算シート'!$A:$A,0)),"案件が未登録"))</f>
        <v/>
      </c>
      <c r="C112" s="17" t="n"/>
      <c r="D112" s="22">
        <f>IF(C112="","",IFERROR(INDEX('システム'!$B:$B,MATCH(C112,'システム'!$A:$A,0)),"システムが未登録"))</f>
        <v/>
      </c>
    </row>
    <row r="113">
      <c r="A113" s="17" t="n"/>
      <c r="B113" s="22">
        <f>IF(A113="","",IFERROR(INDEX('予算シート'!$B:$B,MATCH(A113,'予算シート'!$A:$A,0)),"案件が未登録"))</f>
        <v/>
      </c>
      <c r="C113" s="17" t="n"/>
      <c r="D113" s="22">
        <f>IF(C113="","",IFERROR(INDEX('システム'!$B:$B,MATCH(C113,'システム'!$A:$A,0)),"システムが未登録"))</f>
        <v/>
      </c>
    </row>
    <row r="114">
      <c r="A114" s="17" t="n"/>
      <c r="B114" s="22">
        <f>IF(A114="","",IFERROR(INDEX('予算シート'!$B:$B,MATCH(A114,'予算シート'!$A:$A,0)),"案件が未登録"))</f>
        <v/>
      </c>
      <c r="C114" s="17" t="n"/>
      <c r="D114" s="22">
        <f>IF(C114="","",IFERROR(INDEX('システム'!$B:$B,MATCH(C114,'システム'!$A:$A,0)),"システムが未登録"))</f>
        <v/>
      </c>
    </row>
    <row r="115">
      <c r="A115" s="17" t="n"/>
      <c r="B115" s="22">
        <f>IF(A115="","",IFERROR(INDEX('予算シート'!$B:$B,MATCH(A115,'予算シート'!$A:$A,0)),"案件が未登録"))</f>
        <v/>
      </c>
      <c r="C115" s="17" t="n"/>
      <c r="D115" s="22">
        <f>IF(C115="","",IFERROR(INDEX('システム'!$B:$B,MATCH(C115,'システム'!$A:$A,0)),"システムが未登録"))</f>
        <v/>
      </c>
    </row>
    <row r="116">
      <c r="A116" s="17" t="n"/>
      <c r="B116" s="22">
        <f>IF(A116="","",IFERROR(INDEX('予算シート'!$B:$B,MATCH(A116,'予算シート'!$A:$A,0)),"案件が未登録"))</f>
        <v/>
      </c>
      <c r="C116" s="17" t="n"/>
      <c r="D116" s="22">
        <f>IF(C116="","",IFERROR(INDEX('システム'!$B:$B,MATCH(C116,'システム'!$A:$A,0)),"システムが未登録"))</f>
        <v/>
      </c>
    </row>
    <row r="117">
      <c r="A117" s="17" t="n"/>
      <c r="B117" s="22">
        <f>IF(A117="","",IFERROR(INDEX('予算シート'!$B:$B,MATCH(A117,'予算シート'!$A:$A,0)),"案件が未登録"))</f>
        <v/>
      </c>
      <c r="C117" s="17" t="n"/>
      <c r="D117" s="22">
        <f>IF(C117="","",IFERROR(INDEX('システム'!$B:$B,MATCH(C117,'システム'!$A:$A,0)),"システムが未登録"))</f>
        <v/>
      </c>
    </row>
    <row r="118">
      <c r="A118" s="17" t="n"/>
      <c r="B118" s="22">
        <f>IF(A118="","",IFERROR(INDEX('予算シート'!$B:$B,MATCH(A118,'予算シート'!$A:$A,0)),"案件が未登録"))</f>
        <v/>
      </c>
      <c r="C118" s="17" t="n"/>
      <c r="D118" s="22">
        <f>IF(C118="","",IFERROR(INDEX('システム'!$B:$B,MATCH(C118,'システム'!$A:$A,0)),"システムが未登録"))</f>
        <v/>
      </c>
    </row>
    <row r="119">
      <c r="A119" s="17" t="n"/>
      <c r="B119" s="22">
        <f>IF(A119="","",IFERROR(INDEX('予算シート'!$B:$B,MATCH(A119,'予算シート'!$A:$A,0)),"案件が未登録"))</f>
        <v/>
      </c>
      <c r="C119" s="17" t="n"/>
      <c r="D119" s="22">
        <f>IF(C119="","",IFERROR(INDEX('システム'!$B:$B,MATCH(C119,'システム'!$A:$A,0)),"システムが未登録"))</f>
        <v/>
      </c>
    </row>
    <row r="120">
      <c r="A120" s="17" t="n"/>
      <c r="B120" s="22">
        <f>IF(A120="","",IFERROR(INDEX('予算シート'!$B:$B,MATCH(A120,'予算シート'!$A:$A,0)),"案件が未登録"))</f>
        <v/>
      </c>
      <c r="C120" s="17" t="n"/>
      <c r="D120" s="22">
        <f>IF(C120="","",IFERROR(INDEX('システム'!$B:$B,MATCH(C120,'システム'!$A:$A,0)),"システムが未登録"))</f>
        <v/>
      </c>
    </row>
    <row r="121">
      <c r="A121" s="17" t="n"/>
      <c r="B121" s="22">
        <f>IF(A121="","",IFERROR(INDEX('予算シート'!$B:$B,MATCH(A121,'予算シート'!$A:$A,0)),"案件が未登録"))</f>
        <v/>
      </c>
      <c r="C121" s="17" t="n"/>
      <c r="D121" s="22">
        <f>IF(C121="","",IFERROR(INDEX('システム'!$B:$B,MATCH(C121,'システム'!$A:$A,0)),"システムが未登録"))</f>
        <v/>
      </c>
    </row>
    <row r="122">
      <c r="A122" s="17" t="n"/>
      <c r="B122" s="22">
        <f>IF(A122="","",IFERROR(INDEX('予算シート'!$B:$B,MATCH(A122,'予算シート'!$A:$A,0)),"案件が未登録"))</f>
        <v/>
      </c>
      <c r="C122" s="17" t="n"/>
      <c r="D122" s="22">
        <f>IF(C122="","",IFERROR(INDEX('システム'!$B:$B,MATCH(C122,'システム'!$A:$A,0)),"システムが未登録"))</f>
        <v/>
      </c>
    </row>
    <row r="123">
      <c r="A123" s="17" t="n"/>
      <c r="B123" s="22">
        <f>IF(A123="","",IFERROR(INDEX('予算シート'!$B:$B,MATCH(A123,'予算シート'!$A:$A,0)),"案件が未登録"))</f>
        <v/>
      </c>
      <c r="C123" s="17" t="n"/>
      <c r="D123" s="22">
        <f>IF(C123="","",IFERROR(INDEX('システム'!$B:$B,MATCH(C123,'システム'!$A:$A,0)),"システムが未登録"))</f>
        <v/>
      </c>
    </row>
    <row r="124">
      <c r="A124" s="17" t="n"/>
      <c r="B124" s="22">
        <f>IF(A124="","",IFERROR(INDEX('予算シート'!$B:$B,MATCH(A124,'予算シート'!$A:$A,0)),"案件が未登録"))</f>
        <v/>
      </c>
      <c r="C124" s="17" t="n"/>
      <c r="D124" s="22">
        <f>IF(C124="","",IFERROR(INDEX('システム'!$B:$B,MATCH(C124,'システム'!$A:$A,0)),"システムが未登録"))</f>
        <v/>
      </c>
    </row>
    <row r="125">
      <c r="A125" s="17" t="n"/>
      <c r="B125" s="22">
        <f>IF(A125="","",IFERROR(INDEX('予算シート'!$B:$B,MATCH(A125,'予算シート'!$A:$A,0)),"案件が未登録"))</f>
        <v/>
      </c>
      <c r="C125" s="17" t="n"/>
      <c r="D125" s="22">
        <f>IF(C125="","",IFERROR(INDEX('システム'!$B:$B,MATCH(C125,'システム'!$A:$A,0)),"システムが未登録"))</f>
        <v/>
      </c>
    </row>
    <row r="126">
      <c r="A126" s="17" t="n"/>
      <c r="B126" s="22">
        <f>IF(A126="","",IFERROR(INDEX('予算シート'!$B:$B,MATCH(A126,'予算シート'!$A:$A,0)),"案件が未登録"))</f>
        <v/>
      </c>
      <c r="C126" s="17" t="n"/>
      <c r="D126" s="22">
        <f>IF(C126="","",IFERROR(INDEX('システム'!$B:$B,MATCH(C126,'システム'!$A:$A,0)),"システムが未登録"))</f>
        <v/>
      </c>
    </row>
    <row r="127">
      <c r="A127" s="17" t="n"/>
      <c r="B127" s="22">
        <f>IF(A127="","",IFERROR(INDEX('予算シート'!$B:$B,MATCH(A127,'予算シート'!$A:$A,0)),"案件が未登録"))</f>
        <v/>
      </c>
      <c r="C127" s="17" t="n"/>
      <c r="D127" s="22">
        <f>IF(C127="","",IFERROR(INDEX('システム'!$B:$B,MATCH(C127,'システム'!$A:$A,0)),"システムが未登録"))</f>
        <v/>
      </c>
    </row>
    <row r="128">
      <c r="A128" s="17" t="n"/>
      <c r="B128" s="22">
        <f>IF(A128="","",IFERROR(INDEX('予算シート'!$B:$B,MATCH(A128,'予算シート'!$A:$A,0)),"案件が未登録"))</f>
        <v/>
      </c>
      <c r="C128" s="17" t="n"/>
      <c r="D128" s="22">
        <f>IF(C128="","",IFERROR(INDEX('システム'!$B:$B,MATCH(C128,'システム'!$A:$A,0)),"システムが未登録"))</f>
        <v/>
      </c>
    </row>
    <row r="129">
      <c r="A129" s="17" t="n"/>
      <c r="B129" s="22">
        <f>IF(A129="","",IFERROR(INDEX('予算シート'!$B:$B,MATCH(A129,'予算シート'!$A:$A,0)),"案件が未登録"))</f>
        <v/>
      </c>
      <c r="C129" s="17" t="n"/>
      <c r="D129" s="22">
        <f>IF(C129="","",IFERROR(INDEX('システム'!$B:$B,MATCH(C129,'システム'!$A:$A,0)),"システムが未登録"))</f>
        <v/>
      </c>
    </row>
    <row r="130">
      <c r="A130" s="17" t="n"/>
      <c r="B130" s="22">
        <f>IF(A130="","",IFERROR(INDEX('予算シート'!$B:$B,MATCH(A130,'予算シート'!$A:$A,0)),"案件が未登録"))</f>
        <v/>
      </c>
      <c r="C130" s="17" t="n"/>
      <c r="D130" s="22">
        <f>IF(C130="","",IFERROR(INDEX('システム'!$B:$B,MATCH(C130,'システム'!$A:$A,0)),"システムが未登録"))</f>
        <v/>
      </c>
    </row>
    <row r="131">
      <c r="A131" s="17" t="n"/>
      <c r="B131" s="22">
        <f>IF(A131="","",IFERROR(INDEX('予算シート'!$B:$B,MATCH(A131,'予算シート'!$A:$A,0)),"案件が未登録"))</f>
        <v/>
      </c>
      <c r="C131" s="17" t="n"/>
      <c r="D131" s="22">
        <f>IF(C131="","",IFERROR(INDEX('システム'!$B:$B,MATCH(C131,'システム'!$A:$A,0)),"システムが未登録"))</f>
        <v/>
      </c>
    </row>
    <row r="132">
      <c r="A132" s="17" t="n"/>
      <c r="B132" s="22">
        <f>IF(A132="","",IFERROR(INDEX('予算シート'!$B:$B,MATCH(A132,'予算シート'!$A:$A,0)),"案件が未登録"))</f>
        <v/>
      </c>
      <c r="C132" s="17" t="n"/>
      <c r="D132" s="22">
        <f>IF(C132="","",IFERROR(INDEX('システム'!$B:$B,MATCH(C132,'システム'!$A:$A,0)),"システムが未登録"))</f>
        <v/>
      </c>
    </row>
    <row r="133">
      <c r="A133" s="17" t="n"/>
      <c r="B133" s="22">
        <f>IF(A133="","",IFERROR(INDEX('予算シート'!$B:$B,MATCH(A133,'予算シート'!$A:$A,0)),"案件が未登録"))</f>
        <v/>
      </c>
      <c r="C133" s="17" t="n"/>
      <c r="D133" s="22">
        <f>IF(C133="","",IFERROR(INDEX('システム'!$B:$B,MATCH(C133,'システム'!$A:$A,0)),"システムが未登録"))</f>
        <v/>
      </c>
    </row>
    <row r="134">
      <c r="A134" s="17" t="n"/>
      <c r="B134" s="22">
        <f>IF(A134="","",IFERROR(INDEX('予算シート'!$B:$B,MATCH(A134,'予算シート'!$A:$A,0)),"案件が未登録"))</f>
        <v/>
      </c>
      <c r="C134" s="17" t="n"/>
      <c r="D134" s="22">
        <f>IF(C134="","",IFERROR(INDEX('システム'!$B:$B,MATCH(C134,'システム'!$A:$A,0)),"システムが未登録"))</f>
        <v/>
      </c>
    </row>
    <row r="135">
      <c r="A135" s="17" t="n"/>
      <c r="B135" s="22">
        <f>IF(A135="","",IFERROR(INDEX('予算シート'!$B:$B,MATCH(A135,'予算シート'!$A:$A,0)),"案件が未登録"))</f>
        <v/>
      </c>
      <c r="C135" s="17" t="n"/>
      <c r="D135" s="22">
        <f>IF(C135="","",IFERROR(INDEX('システム'!$B:$B,MATCH(C135,'システム'!$A:$A,0)),"システムが未登録"))</f>
        <v/>
      </c>
    </row>
    <row r="136">
      <c r="A136" s="17" t="n"/>
      <c r="B136" s="22">
        <f>IF(A136="","",IFERROR(INDEX('予算シート'!$B:$B,MATCH(A136,'予算シート'!$A:$A,0)),"案件が未登録"))</f>
        <v/>
      </c>
      <c r="C136" s="17" t="n"/>
      <c r="D136" s="22">
        <f>IF(C136="","",IFERROR(INDEX('システム'!$B:$B,MATCH(C136,'システム'!$A:$A,0)),"システムが未登録"))</f>
        <v/>
      </c>
    </row>
    <row r="137">
      <c r="A137" s="17" t="n"/>
      <c r="B137" s="22">
        <f>IF(A137="","",IFERROR(INDEX('予算シート'!$B:$B,MATCH(A137,'予算シート'!$A:$A,0)),"案件が未登録"))</f>
        <v/>
      </c>
      <c r="C137" s="17" t="n"/>
      <c r="D137" s="22">
        <f>IF(C137="","",IFERROR(INDEX('システム'!$B:$B,MATCH(C137,'システム'!$A:$A,0)),"システムが未登録"))</f>
        <v/>
      </c>
    </row>
    <row r="138">
      <c r="A138" s="17" t="n"/>
      <c r="B138" s="22">
        <f>IF(A138="","",IFERROR(INDEX('予算シート'!$B:$B,MATCH(A138,'予算シート'!$A:$A,0)),"案件が未登録"))</f>
        <v/>
      </c>
      <c r="C138" s="17" t="n"/>
      <c r="D138" s="22">
        <f>IF(C138="","",IFERROR(INDEX('システム'!$B:$B,MATCH(C138,'システム'!$A:$A,0)),"システムが未登録"))</f>
        <v/>
      </c>
    </row>
    <row r="139">
      <c r="A139" s="17" t="n"/>
      <c r="B139" s="22">
        <f>IF(A139="","",IFERROR(INDEX('予算シート'!$B:$B,MATCH(A139,'予算シート'!$A:$A,0)),"案件が未登録"))</f>
        <v/>
      </c>
      <c r="C139" s="17" t="n"/>
      <c r="D139" s="22">
        <f>IF(C139="","",IFERROR(INDEX('システム'!$B:$B,MATCH(C139,'システム'!$A:$A,0)),"システムが未登録"))</f>
        <v/>
      </c>
    </row>
    <row r="140">
      <c r="A140" s="17" t="n"/>
      <c r="B140" s="22">
        <f>IF(A140="","",IFERROR(INDEX('予算シート'!$B:$B,MATCH(A140,'予算シート'!$A:$A,0)),"案件が未登録"))</f>
        <v/>
      </c>
      <c r="C140" s="17" t="n"/>
      <c r="D140" s="22">
        <f>IF(C140="","",IFERROR(INDEX('システム'!$B:$B,MATCH(C140,'システム'!$A:$A,0)),"システムが未登録"))</f>
        <v/>
      </c>
    </row>
    <row r="141">
      <c r="A141" s="17" t="n"/>
      <c r="B141" s="22">
        <f>IF(A141="","",IFERROR(INDEX('予算シート'!$B:$B,MATCH(A141,'予算シート'!$A:$A,0)),"案件が未登録"))</f>
        <v/>
      </c>
      <c r="C141" s="17" t="n"/>
      <c r="D141" s="22">
        <f>IF(C141="","",IFERROR(INDEX('システム'!$B:$B,MATCH(C141,'システム'!$A:$A,0)),"システムが未登録"))</f>
        <v/>
      </c>
    </row>
    <row r="142">
      <c r="A142" s="17" t="n"/>
      <c r="B142" s="22">
        <f>IF(A142="","",IFERROR(INDEX('予算シート'!$B:$B,MATCH(A142,'予算シート'!$A:$A,0)),"案件が未登録"))</f>
        <v/>
      </c>
      <c r="C142" s="17" t="n"/>
      <c r="D142" s="22">
        <f>IF(C142="","",IFERROR(INDEX('システム'!$B:$B,MATCH(C142,'システム'!$A:$A,0)),"システムが未登録"))</f>
        <v/>
      </c>
    </row>
    <row r="143">
      <c r="A143" s="17" t="n"/>
      <c r="B143" s="22">
        <f>IF(A143="","",IFERROR(INDEX('予算シート'!$B:$B,MATCH(A143,'予算シート'!$A:$A,0)),"案件が未登録"))</f>
        <v/>
      </c>
      <c r="C143" s="17" t="n"/>
      <c r="D143" s="22">
        <f>IF(C143="","",IFERROR(INDEX('システム'!$B:$B,MATCH(C143,'システム'!$A:$A,0)),"システムが未登録"))</f>
        <v/>
      </c>
    </row>
    <row r="144">
      <c r="A144" s="17" t="n"/>
      <c r="B144" s="22">
        <f>IF(A144="","",IFERROR(INDEX('予算シート'!$B:$B,MATCH(A144,'予算シート'!$A:$A,0)),"案件が未登録"))</f>
        <v/>
      </c>
      <c r="C144" s="17" t="n"/>
      <c r="D144" s="22">
        <f>IF(C144="","",IFERROR(INDEX('システム'!$B:$B,MATCH(C144,'システム'!$A:$A,0)),"システムが未登録"))</f>
        <v/>
      </c>
    </row>
    <row r="145">
      <c r="A145" s="17" t="n"/>
      <c r="B145" s="22">
        <f>IF(A145="","",IFERROR(INDEX('予算シート'!$B:$B,MATCH(A145,'予算シート'!$A:$A,0)),"案件が未登録"))</f>
        <v/>
      </c>
      <c r="C145" s="17" t="n"/>
      <c r="D145" s="22">
        <f>IF(C145="","",IFERROR(INDEX('システム'!$B:$B,MATCH(C145,'システム'!$A:$A,0)),"システムが未登録"))</f>
        <v/>
      </c>
    </row>
    <row r="146">
      <c r="A146" s="17" t="n"/>
      <c r="B146" s="22">
        <f>IF(A146="","",IFERROR(INDEX('予算シート'!$B:$B,MATCH(A146,'予算シート'!$A:$A,0)),"案件が未登録"))</f>
        <v/>
      </c>
      <c r="C146" s="17" t="n"/>
      <c r="D146" s="22">
        <f>IF(C146="","",IFERROR(INDEX('システム'!$B:$B,MATCH(C146,'システム'!$A:$A,0)),"システムが未登録"))</f>
        <v/>
      </c>
    </row>
    <row r="147">
      <c r="A147" s="17" t="n"/>
      <c r="B147" s="22">
        <f>IF(A147="","",IFERROR(INDEX('予算シート'!$B:$B,MATCH(A147,'予算シート'!$A:$A,0)),"案件が未登録"))</f>
        <v/>
      </c>
      <c r="C147" s="17" t="n"/>
      <c r="D147" s="22">
        <f>IF(C147="","",IFERROR(INDEX('システム'!$B:$B,MATCH(C147,'システム'!$A:$A,0)),"システムが未登録"))</f>
        <v/>
      </c>
    </row>
    <row r="148">
      <c r="A148" s="17" t="n"/>
      <c r="B148" s="22">
        <f>IF(A148="","",IFERROR(INDEX('予算シート'!$B:$B,MATCH(A148,'予算シート'!$A:$A,0)),"案件が未登録"))</f>
        <v/>
      </c>
      <c r="C148" s="17" t="n"/>
      <c r="D148" s="22">
        <f>IF(C148="","",IFERROR(INDEX('システム'!$B:$B,MATCH(C148,'システム'!$A:$A,0)),"システムが未登録"))</f>
        <v/>
      </c>
    </row>
    <row r="149">
      <c r="A149" s="17" t="n"/>
      <c r="B149" s="22">
        <f>IF(A149="","",IFERROR(INDEX('予算シート'!$B:$B,MATCH(A149,'予算シート'!$A:$A,0)),"案件が未登録"))</f>
        <v/>
      </c>
      <c r="C149" s="17" t="n"/>
      <c r="D149" s="22">
        <f>IF(C149="","",IFERROR(INDEX('システム'!$B:$B,MATCH(C149,'システム'!$A:$A,0)),"システムが未登録"))</f>
        <v/>
      </c>
    </row>
    <row r="150">
      <c r="A150" s="17" t="n"/>
      <c r="B150" s="22">
        <f>IF(A150="","",IFERROR(INDEX('予算シート'!$B:$B,MATCH(A150,'予算シート'!$A:$A,0)),"案件が未登録"))</f>
        <v/>
      </c>
      <c r="C150" s="17" t="n"/>
      <c r="D150" s="22">
        <f>IF(C150="","",IFERROR(INDEX('システム'!$B:$B,MATCH(C150,'システム'!$A:$A,0)),"システムが未登録"))</f>
        <v/>
      </c>
    </row>
    <row r="151">
      <c r="A151" s="17" t="n"/>
      <c r="B151" s="22">
        <f>IF(A151="","",IFERROR(INDEX('予算シート'!$B:$B,MATCH(A151,'予算シート'!$A:$A,0)),"案件が未登録"))</f>
        <v/>
      </c>
      <c r="C151" s="17" t="n"/>
      <c r="D151" s="22">
        <f>IF(C151="","",IFERROR(INDEX('システム'!$B:$B,MATCH(C151,'システム'!$A:$A,0)),"システムが未登録"))</f>
        <v/>
      </c>
    </row>
    <row r="152">
      <c r="A152" s="17" t="n"/>
      <c r="B152" s="22">
        <f>IF(A152="","",IFERROR(INDEX('予算シート'!$B:$B,MATCH(A152,'予算シート'!$A:$A,0)),"案件が未登録"))</f>
        <v/>
      </c>
      <c r="C152" s="17" t="n"/>
      <c r="D152" s="22">
        <f>IF(C152="","",IFERROR(INDEX('システム'!$B:$B,MATCH(C152,'システム'!$A:$A,0)),"システムが未登録"))</f>
        <v/>
      </c>
    </row>
    <row r="153">
      <c r="A153" s="17" t="n"/>
      <c r="B153" s="22">
        <f>IF(A153="","",IFERROR(INDEX('予算シート'!$B:$B,MATCH(A153,'予算シート'!$A:$A,0)),"案件が未登録"))</f>
        <v/>
      </c>
      <c r="C153" s="17" t="n"/>
      <c r="D153" s="22">
        <f>IF(C153="","",IFERROR(INDEX('システム'!$B:$B,MATCH(C153,'システム'!$A:$A,0)),"システムが未登録"))</f>
        <v/>
      </c>
    </row>
    <row r="154">
      <c r="A154" s="17" t="n"/>
      <c r="B154" s="22">
        <f>IF(A154="","",IFERROR(INDEX('予算シート'!$B:$B,MATCH(A154,'予算シート'!$A:$A,0)),"案件が未登録"))</f>
        <v/>
      </c>
      <c r="C154" s="17" t="n"/>
      <c r="D154" s="22">
        <f>IF(C154="","",IFERROR(INDEX('システム'!$B:$B,MATCH(C154,'システム'!$A:$A,0)),"システムが未登録"))</f>
        <v/>
      </c>
    </row>
    <row r="155">
      <c r="A155" s="17" t="n"/>
      <c r="B155" s="22">
        <f>IF(A155="","",IFERROR(INDEX('予算シート'!$B:$B,MATCH(A155,'予算シート'!$A:$A,0)),"案件が未登録"))</f>
        <v/>
      </c>
      <c r="C155" s="17" t="n"/>
      <c r="D155" s="22">
        <f>IF(C155="","",IFERROR(INDEX('システム'!$B:$B,MATCH(C155,'システム'!$A:$A,0)),"システムが未登録"))</f>
        <v/>
      </c>
    </row>
    <row r="156">
      <c r="A156" s="17" t="n"/>
      <c r="B156" s="22">
        <f>IF(A156="","",IFERROR(INDEX('予算シート'!$B:$B,MATCH(A156,'予算シート'!$A:$A,0)),"案件が未登録"))</f>
        <v/>
      </c>
      <c r="C156" s="17" t="n"/>
      <c r="D156" s="22">
        <f>IF(C156="","",IFERROR(INDEX('システム'!$B:$B,MATCH(C156,'システム'!$A:$A,0)),"システムが未登録"))</f>
        <v/>
      </c>
    </row>
    <row r="157">
      <c r="A157" s="17" t="n"/>
      <c r="B157" s="22">
        <f>IF(A157="","",IFERROR(INDEX('予算シート'!$B:$B,MATCH(A157,'予算シート'!$A:$A,0)),"案件が未登録"))</f>
        <v/>
      </c>
      <c r="C157" s="17" t="n"/>
      <c r="D157" s="22">
        <f>IF(C157="","",IFERROR(INDEX('システム'!$B:$B,MATCH(C157,'システム'!$A:$A,0)),"システムが未登録"))</f>
        <v/>
      </c>
    </row>
    <row r="158">
      <c r="A158" s="17" t="n"/>
      <c r="B158" s="22">
        <f>IF(A158="","",IFERROR(INDEX('予算シート'!$B:$B,MATCH(A158,'予算シート'!$A:$A,0)),"案件が未登録"))</f>
        <v/>
      </c>
      <c r="C158" s="17" t="n"/>
      <c r="D158" s="22">
        <f>IF(C158="","",IFERROR(INDEX('システム'!$B:$B,MATCH(C158,'システム'!$A:$A,0)),"システムが未登録"))</f>
        <v/>
      </c>
    </row>
    <row r="159">
      <c r="A159" s="17" t="n"/>
      <c r="B159" s="22">
        <f>IF(A159="","",IFERROR(INDEX('予算シート'!$B:$B,MATCH(A159,'予算シート'!$A:$A,0)),"案件が未登録"))</f>
        <v/>
      </c>
      <c r="C159" s="17" t="n"/>
      <c r="D159" s="22">
        <f>IF(C159="","",IFERROR(INDEX('システム'!$B:$B,MATCH(C159,'システム'!$A:$A,0)),"システムが未登録"))</f>
        <v/>
      </c>
    </row>
    <row r="160">
      <c r="A160" s="17" t="n"/>
      <c r="B160" s="22">
        <f>IF(A160="","",IFERROR(INDEX('予算シート'!$B:$B,MATCH(A160,'予算シート'!$A:$A,0)),"案件が未登録"))</f>
        <v/>
      </c>
      <c r="C160" s="17" t="n"/>
      <c r="D160" s="22">
        <f>IF(C160="","",IFERROR(INDEX('システム'!$B:$B,MATCH(C160,'システム'!$A:$A,0)),"システムが未登録"))</f>
        <v/>
      </c>
    </row>
    <row r="161">
      <c r="A161" s="17" t="n"/>
      <c r="B161" s="22">
        <f>IF(A161="","",IFERROR(INDEX('予算シート'!$B:$B,MATCH(A161,'予算シート'!$A:$A,0)),"案件が未登録"))</f>
        <v/>
      </c>
      <c r="C161" s="17" t="n"/>
      <c r="D161" s="22">
        <f>IF(C161="","",IFERROR(INDEX('システム'!$B:$B,MATCH(C161,'システム'!$A:$A,0)),"システムが未登録"))</f>
        <v/>
      </c>
    </row>
    <row r="162">
      <c r="A162" s="17" t="n"/>
      <c r="B162" s="22">
        <f>IF(A162="","",IFERROR(INDEX('予算シート'!$B:$B,MATCH(A162,'予算シート'!$A:$A,0)),"案件が未登録"))</f>
        <v/>
      </c>
      <c r="C162" s="17" t="n"/>
      <c r="D162" s="22">
        <f>IF(C162="","",IFERROR(INDEX('システム'!$B:$B,MATCH(C162,'システム'!$A:$A,0)),"システムが未登録"))</f>
        <v/>
      </c>
    </row>
    <row r="163">
      <c r="A163" s="17" t="n"/>
      <c r="B163" s="22">
        <f>IF(A163="","",IFERROR(INDEX('予算シート'!$B:$B,MATCH(A163,'予算シート'!$A:$A,0)),"案件が未登録"))</f>
        <v/>
      </c>
      <c r="C163" s="17" t="n"/>
      <c r="D163" s="22">
        <f>IF(C163="","",IFERROR(INDEX('システム'!$B:$B,MATCH(C163,'システム'!$A:$A,0)),"システムが未登録"))</f>
        <v/>
      </c>
    </row>
    <row r="164">
      <c r="A164" s="17" t="n"/>
      <c r="B164" s="22">
        <f>IF(A164="","",IFERROR(INDEX('予算シート'!$B:$B,MATCH(A164,'予算シート'!$A:$A,0)),"案件が未登録"))</f>
        <v/>
      </c>
      <c r="C164" s="17" t="n"/>
      <c r="D164" s="22">
        <f>IF(C164="","",IFERROR(INDEX('システム'!$B:$B,MATCH(C164,'システム'!$A:$A,0)),"システムが未登録"))</f>
        <v/>
      </c>
    </row>
    <row r="165">
      <c r="A165" s="17" t="n"/>
      <c r="B165" s="22">
        <f>IF(A165="","",IFERROR(INDEX('予算シート'!$B:$B,MATCH(A165,'予算シート'!$A:$A,0)),"案件が未登録"))</f>
        <v/>
      </c>
      <c r="C165" s="17" t="n"/>
      <c r="D165" s="22">
        <f>IF(C165="","",IFERROR(INDEX('システム'!$B:$B,MATCH(C165,'システム'!$A:$A,0)),"システムが未登録"))</f>
        <v/>
      </c>
    </row>
    <row r="166">
      <c r="A166" s="17" t="n"/>
      <c r="B166" s="22">
        <f>IF(A166="","",IFERROR(INDEX('予算シート'!$B:$B,MATCH(A166,'予算シート'!$A:$A,0)),"案件が未登録"))</f>
        <v/>
      </c>
      <c r="C166" s="17" t="n"/>
      <c r="D166" s="22">
        <f>IF(C166="","",IFERROR(INDEX('システム'!$B:$B,MATCH(C166,'システム'!$A:$A,0)),"システムが未登録"))</f>
        <v/>
      </c>
    </row>
    <row r="167">
      <c r="A167" s="17" t="n"/>
      <c r="B167" s="22">
        <f>IF(A167="","",IFERROR(INDEX('予算シート'!$B:$B,MATCH(A167,'予算シート'!$A:$A,0)),"案件が未登録"))</f>
        <v/>
      </c>
      <c r="C167" s="17" t="n"/>
      <c r="D167" s="22">
        <f>IF(C167="","",IFERROR(INDEX('システム'!$B:$B,MATCH(C167,'システム'!$A:$A,0)),"システムが未登録"))</f>
        <v/>
      </c>
    </row>
    <row r="168">
      <c r="A168" s="17" t="n"/>
      <c r="B168" s="22">
        <f>IF(A168="","",IFERROR(INDEX('予算シート'!$B:$B,MATCH(A168,'予算シート'!$A:$A,0)),"案件が未登録"))</f>
        <v/>
      </c>
      <c r="C168" s="17" t="n"/>
      <c r="D168" s="22">
        <f>IF(C168="","",IFERROR(INDEX('システム'!$B:$B,MATCH(C168,'システム'!$A:$A,0)),"システムが未登録"))</f>
        <v/>
      </c>
    </row>
    <row r="169">
      <c r="A169" s="17" t="n"/>
      <c r="B169" s="22">
        <f>IF(A169="","",IFERROR(INDEX('予算シート'!$B:$B,MATCH(A169,'予算シート'!$A:$A,0)),"案件が未登録"))</f>
        <v/>
      </c>
      <c r="C169" s="17" t="n"/>
      <c r="D169" s="22">
        <f>IF(C169="","",IFERROR(INDEX('システム'!$B:$B,MATCH(C169,'システム'!$A:$A,0)),"システムが未登録"))</f>
        <v/>
      </c>
    </row>
    <row r="170">
      <c r="A170" s="17" t="n"/>
      <c r="B170" s="22">
        <f>IF(A170="","",IFERROR(INDEX('予算シート'!$B:$B,MATCH(A170,'予算シート'!$A:$A,0)),"案件が未登録"))</f>
        <v/>
      </c>
      <c r="C170" s="17" t="n"/>
      <c r="D170" s="22">
        <f>IF(C170="","",IFERROR(INDEX('システム'!$B:$B,MATCH(C170,'システム'!$A:$A,0)),"システムが未登録"))</f>
        <v/>
      </c>
    </row>
    <row r="171">
      <c r="A171" s="17" t="n"/>
      <c r="B171" s="22">
        <f>IF(A171="","",IFERROR(INDEX('予算シート'!$B:$B,MATCH(A171,'予算シート'!$A:$A,0)),"案件が未登録"))</f>
        <v/>
      </c>
      <c r="C171" s="17" t="n"/>
      <c r="D171" s="22">
        <f>IF(C171="","",IFERROR(INDEX('システム'!$B:$B,MATCH(C171,'システム'!$A:$A,0)),"システムが未登録"))</f>
        <v/>
      </c>
    </row>
    <row r="172">
      <c r="A172" s="17" t="n"/>
      <c r="B172" s="22">
        <f>IF(A172="","",IFERROR(INDEX('予算シート'!$B:$B,MATCH(A172,'予算シート'!$A:$A,0)),"案件が未登録"))</f>
        <v/>
      </c>
      <c r="C172" s="17" t="n"/>
      <c r="D172" s="22">
        <f>IF(C172="","",IFERROR(INDEX('システム'!$B:$B,MATCH(C172,'システム'!$A:$A,0)),"システムが未登録"))</f>
        <v/>
      </c>
    </row>
    <row r="173">
      <c r="A173" s="17" t="n"/>
      <c r="B173" s="22">
        <f>IF(A173="","",IFERROR(INDEX('予算シート'!$B:$B,MATCH(A173,'予算シート'!$A:$A,0)),"案件が未登録"))</f>
        <v/>
      </c>
      <c r="C173" s="17" t="n"/>
      <c r="D173" s="22">
        <f>IF(C173="","",IFERROR(INDEX('システム'!$B:$B,MATCH(C173,'システム'!$A:$A,0)),"システムが未登録"))</f>
        <v/>
      </c>
    </row>
    <row r="174">
      <c r="A174" s="17" t="n"/>
      <c r="B174" s="22">
        <f>IF(A174="","",IFERROR(INDEX('予算シート'!$B:$B,MATCH(A174,'予算シート'!$A:$A,0)),"案件が未登録"))</f>
        <v/>
      </c>
      <c r="C174" s="17" t="n"/>
      <c r="D174" s="22">
        <f>IF(C174="","",IFERROR(INDEX('システム'!$B:$B,MATCH(C174,'システム'!$A:$A,0)),"システムが未登録"))</f>
        <v/>
      </c>
    </row>
    <row r="175">
      <c r="A175" s="17" t="n"/>
      <c r="B175" s="22">
        <f>IF(A175="","",IFERROR(INDEX('予算シート'!$B:$B,MATCH(A175,'予算シート'!$A:$A,0)),"案件が未登録"))</f>
        <v/>
      </c>
      <c r="C175" s="17" t="n"/>
      <c r="D175" s="22">
        <f>IF(C175="","",IFERROR(INDEX('システム'!$B:$B,MATCH(C175,'システム'!$A:$A,0)),"システムが未登録"))</f>
        <v/>
      </c>
    </row>
    <row r="176">
      <c r="A176" s="17" t="n"/>
      <c r="B176" s="22">
        <f>IF(A176="","",IFERROR(INDEX('予算シート'!$B:$B,MATCH(A176,'予算シート'!$A:$A,0)),"案件が未登録"))</f>
        <v/>
      </c>
      <c r="C176" s="17" t="n"/>
      <c r="D176" s="22">
        <f>IF(C176="","",IFERROR(INDEX('システム'!$B:$B,MATCH(C176,'システム'!$A:$A,0)),"システムが未登録"))</f>
        <v/>
      </c>
    </row>
    <row r="177">
      <c r="A177" s="17" t="n"/>
      <c r="B177" s="22">
        <f>IF(A177="","",IFERROR(INDEX('予算シート'!$B:$B,MATCH(A177,'予算シート'!$A:$A,0)),"案件が未登録"))</f>
        <v/>
      </c>
      <c r="C177" s="17" t="n"/>
      <c r="D177" s="22">
        <f>IF(C177="","",IFERROR(INDEX('システム'!$B:$B,MATCH(C177,'システム'!$A:$A,0)),"システムが未登録"))</f>
        <v/>
      </c>
    </row>
    <row r="178">
      <c r="A178" s="17" t="n"/>
      <c r="B178" s="22">
        <f>IF(A178="","",IFERROR(INDEX('予算シート'!$B:$B,MATCH(A178,'予算シート'!$A:$A,0)),"案件が未登録"))</f>
        <v/>
      </c>
      <c r="C178" s="17" t="n"/>
      <c r="D178" s="22">
        <f>IF(C178="","",IFERROR(INDEX('システム'!$B:$B,MATCH(C178,'システム'!$A:$A,0)),"システムが未登録"))</f>
        <v/>
      </c>
    </row>
    <row r="179">
      <c r="A179" s="17" t="n"/>
      <c r="B179" s="22">
        <f>IF(A179="","",IFERROR(INDEX('予算シート'!$B:$B,MATCH(A179,'予算シート'!$A:$A,0)),"案件が未登録"))</f>
        <v/>
      </c>
      <c r="C179" s="17" t="n"/>
      <c r="D179" s="22">
        <f>IF(C179="","",IFERROR(INDEX('システム'!$B:$B,MATCH(C179,'システム'!$A:$A,0)),"システムが未登録"))</f>
        <v/>
      </c>
    </row>
    <row r="180">
      <c r="A180" s="17" t="n"/>
      <c r="B180" s="22">
        <f>IF(A180="","",IFERROR(INDEX('予算シート'!$B:$B,MATCH(A180,'予算シート'!$A:$A,0)),"案件が未登録"))</f>
        <v/>
      </c>
      <c r="C180" s="17" t="n"/>
      <c r="D180" s="22">
        <f>IF(C180="","",IFERROR(INDEX('システム'!$B:$B,MATCH(C180,'システム'!$A:$A,0)),"システムが未登録"))</f>
        <v/>
      </c>
    </row>
    <row r="181">
      <c r="A181" s="17" t="n"/>
      <c r="B181" s="22">
        <f>IF(A181="","",IFERROR(INDEX('予算シート'!$B:$B,MATCH(A181,'予算シート'!$A:$A,0)),"案件が未登録"))</f>
        <v/>
      </c>
      <c r="C181" s="17" t="n"/>
      <c r="D181" s="22">
        <f>IF(C181="","",IFERROR(INDEX('システム'!$B:$B,MATCH(C181,'システム'!$A:$A,0)),"システムが未登録"))</f>
        <v/>
      </c>
    </row>
    <row r="182">
      <c r="A182" s="17" t="n"/>
      <c r="B182" s="22">
        <f>IF(A182="","",IFERROR(INDEX('予算シート'!$B:$B,MATCH(A182,'予算シート'!$A:$A,0)),"案件が未登録"))</f>
        <v/>
      </c>
      <c r="C182" s="17" t="n"/>
      <c r="D182" s="22">
        <f>IF(C182="","",IFERROR(INDEX('システム'!$B:$B,MATCH(C182,'システム'!$A:$A,0)),"システムが未登録"))</f>
        <v/>
      </c>
    </row>
    <row r="183">
      <c r="A183" s="17" t="n"/>
      <c r="B183" s="22">
        <f>IF(A183="","",IFERROR(INDEX('予算シート'!$B:$B,MATCH(A183,'予算シート'!$A:$A,0)),"案件が未登録"))</f>
        <v/>
      </c>
      <c r="C183" s="17" t="n"/>
      <c r="D183" s="22">
        <f>IF(C183="","",IFERROR(INDEX('システム'!$B:$B,MATCH(C183,'システム'!$A:$A,0)),"システムが未登録"))</f>
        <v/>
      </c>
    </row>
    <row r="184">
      <c r="A184" s="17" t="n"/>
      <c r="B184" s="22">
        <f>IF(A184="","",IFERROR(INDEX('予算シート'!$B:$B,MATCH(A184,'予算シート'!$A:$A,0)),"案件が未登録"))</f>
        <v/>
      </c>
      <c r="C184" s="17" t="n"/>
      <c r="D184" s="22">
        <f>IF(C184="","",IFERROR(INDEX('システム'!$B:$B,MATCH(C184,'システム'!$A:$A,0)),"システムが未登録"))</f>
        <v/>
      </c>
    </row>
    <row r="185">
      <c r="A185" s="17" t="n"/>
      <c r="B185" s="22">
        <f>IF(A185="","",IFERROR(INDEX('予算シート'!$B:$B,MATCH(A185,'予算シート'!$A:$A,0)),"案件が未登録"))</f>
        <v/>
      </c>
      <c r="C185" s="17" t="n"/>
      <c r="D185" s="22">
        <f>IF(C185="","",IFERROR(INDEX('システム'!$B:$B,MATCH(C185,'システム'!$A:$A,0)),"システムが未登録"))</f>
        <v/>
      </c>
    </row>
    <row r="186">
      <c r="A186" s="17" t="n"/>
      <c r="B186" s="22">
        <f>IF(A186="","",IFERROR(INDEX('予算シート'!$B:$B,MATCH(A186,'予算シート'!$A:$A,0)),"案件が未登録"))</f>
        <v/>
      </c>
      <c r="C186" s="17" t="n"/>
      <c r="D186" s="22">
        <f>IF(C186="","",IFERROR(INDEX('システム'!$B:$B,MATCH(C186,'システム'!$A:$A,0)),"システムが未登録"))</f>
        <v/>
      </c>
    </row>
    <row r="187">
      <c r="A187" s="17" t="n"/>
      <c r="B187" s="22">
        <f>IF(A187="","",IFERROR(INDEX('予算シート'!$B:$B,MATCH(A187,'予算シート'!$A:$A,0)),"案件が未登録"))</f>
        <v/>
      </c>
      <c r="C187" s="17" t="n"/>
      <c r="D187" s="22">
        <f>IF(C187="","",IFERROR(INDEX('システム'!$B:$B,MATCH(C187,'システム'!$A:$A,0)),"システムが未登録"))</f>
        <v/>
      </c>
    </row>
    <row r="188">
      <c r="A188" s="17" t="n"/>
      <c r="B188" s="22">
        <f>IF(A188="","",IFERROR(INDEX('予算シート'!$B:$B,MATCH(A188,'予算シート'!$A:$A,0)),"案件が未登録"))</f>
        <v/>
      </c>
      <c r="C188" s="17" t="n"/>
      <c r="D188" s="22">
        <f>IF(C188="","",IFERROR(INDEX('システム'!$B:$B,MATCH(C188,'システム'!$A:$A,0)),"システムが未登録"))</f>
        <v/>
      </c>
    </row>
    <row r="189">
      <c r="A189" s="17" t="n"/>
      <c r="B189" s="22">
        <f>IF(A189="","",IFERROR(INDEX('予算シート'!$B:$B,MATCH(A189,'予算シート'!$A:$A,0)),"案件が未登録"))</f>
        <v/>
      </c>
      <c r="C189" s="17" t="n"/>
      <c r="D189" s="22">
        <f>IF(C189="","",IFERROR(INDEX('システム'!$B:$B,MATCH(C189,'システム'!$A:$A,0)),"システムが未登録"))</f>
        <v/>
      </c>
    </row>
    <row r="190">
      <c r="A190" s="17" t="n"/>
      <c r="B190" s="22">
        <f>IF(A190="","",IFERROR(INDEX('予算シート'!$B:$B,MATCH(A190,'予算シート'!$A:$A,0)),"案件が未登録"))</f>
        <v/>
      </c>
      <c r="C190" s="17" t="n"/>
      <c r="D190" s="22">
        <f>IF(C190="","",IFERROR(INDEX('システム'!$B:$B,MATCH(C190,'システム'!$A:$A,0)),"システムが未登録"))</f>
        <v/>
      </c>
    </row>
    <row r="191">
      <c r="A191" s="17" t="n"/>
      <c r="B191" s="22">
        <f>IF(A191="","",IFERROR(INDEX('予算シート'!$B:$B,MATCH(A191,'予算シート'!$A:$A,0)),"案件が未登録"))</f>
        <v/>
      </c>
      <c r="C191" s="17" t="n"/>
      <c r="D191" s="22">
        <f>IF(C191="","",IFERROR(INDEX('システム'!$B:$B,MATCH(C191,'システム'!$A:$A,0)),"システムが未登録"))</f>
        <v/>
      </c>
    </row>
    <row r="192">
      <c r="A192" s="17" t="n"/>
      <c r="B192" s="22">
        <f>IF(A192="","",IFERROR(INDEX('予算シート'!$B:$B,MATCH(A192,'予算シート'!$A:$A,0)),"案件が未登録"))</f>
        <v/>
      </c>
      <c r="C192" s="17" t="n"/>
      <c r="D192" s="22">
        <f>IF(C192="","",IFERROR(INDEX('システム'!$B:$B,MATCH(C192,'システム'!$A:$A,0)),"システムが未登録"))</f>
        <v/>
      </c>
    </row>
    <row r="193">
      <c r="A193" s="17" t="n"/>
      <c r="B193" s="22">
        <f>IF(A193="","",IFERROR(INDEX('予算シート'!$B:$B,MATCH(A193,'予算シート'!$A:$A,0)),"案件が未登録"))</f>
        <v/>
      </c>
      <c r="C193" s="17" t="n"/>
      <c r="D193" s="22">
        <f>IF(C193="","",IFERROR(INDEX('システム'!$B:$B,MATCH(C193,'システム'!$A:$A,0)),"システムが未登録"))</f>
        <v/>
      </c>
    </row>
    <row r="194">
      <c r="A194" s="17" t="n"/>
      <c r="B194" s="22">
        <f>IF(A194="","",IFERROR(INDEX('予算シート'!$B:$B,MATCH(A194,'予算シート'!$A:$A,0)),"案件が未登録"))</f>
        <v/>
      </c>
      <c r="C194" s="17" t="n"/>
      <c r="D194" s="22">
        <f>IF(C194="","",IFERROR(INDEX('システム'!$B:$B,MATCH(C194,'システム'!$A:$A,0)),"システムが未登録"))</f>
        <v/>
      </c>
    </row>
    <row r="195">
      <c r="A195" s="17" t="n"/>
      <c r="B195" s="22">
        <f>IF(A195="","",IFERROR(INDEX('予算シート'!$B:$B,MATCH(A195,'予算シート'!$A:$A,0)),"案件が未登録"))</f>
        <v/>
      </c>
      <c r="C195" s="17" t="n"/>
      <c r="D195" s="22">
        <f>IF(C195="","",IFERROR(INDEX('システム'!$B:$B,MATCH(C195,'システム'!$A:$A,0)),"システムが未登録"))</f>
        <v/>
      </c>
    </row>
    <row r="196">
      <c r="A196" s="17" t="n"/>
      <c r="B196" s="22">
        <f>IF(A196="","",IFERROR(INDEX('予算シート'!$B:$B,MATCH(A196,'予算シート'!$A:$A,0)),"案件が未登録"))</f>
        <v/>
      </c>
      <c r="C196" s="17" t="n"/>
      <c r="D196" s="22">
        <f>IF(C196="","",IFERROR(INDEX('システム'!$B:$B,MATCH(C196,'システム'!$A:$A,0)),"システムが未登録"))</f>
        <v/>
      </c>
    </row>
    <row r="197">
      <c r="A197" s="17" t="n"/>
      <c r="B197" s="22">
        <f>IF(A197="","",IFERROR(INDEX('予算シート'!$B:$B,MATCH(A197,'予算シート'!$A:$A,0)),"案件が未登録"))</f>
        <v/>
      </c>
      <c r="C197" s="17" t="n"/>
      <c r="D197" s="22">
        <f>IF(C197="","",IFERROR(INDEX('システム'!$B:$B,MATCH(C197,'システム'!$A:$A,0)),"システムが未登録"))</f>
        <v/>
      </c>
    </row>
    <row r="198">
      <c r="A198" s="17" t="n"/>
      <c r="B198" s="22">
        <f>IF(A198="","",IFERROR(INDEX('予算シート'!$B:$B,MATCH(A198,'予算シート'!$A:$A,0)),"案件が未登録"))</f>
        <v/>
      </c>
      <c r="C198" s="17" t="n"/>
      <c r="D198" s="22">
        <f>IF(C198="","",IFERROR(INDEX('システム'!$B:$B,MATCH(C198,'システム'!$A:$A,0)),"システムが未登録"))</f>
        <v/>
      </c>
    </row>
    <row r="199">
      <c r="A199" s="17" t="n"/>
      <c r="B199" s="22">
        <f>IF(A199="","",IFERROR(INDEX('予算シート'!$B:$B,MATCH(A199,'予算シート'!$A:$A,0)),"案件が未登録"))</f>
        <v/>
      </c>
      <c r="C199" s="17" t="n"/>
      <c r="D199" s="22">
        <f>IF(C199="","",IFERROR(INDEX('システム'!$B:$B,MATCH(C199,'システム'!$A:$A,0)),"システムが未登録"))</f>
        <v/>
      </c>
    </row>
    <row r="200">
      <c r="A200" s="17" t="n"/>
      <c r="B200" s="22">
        <f>IF(A200="","",IFERROR(INDEX('予算シート'!$B:$B,MATCH(A200,'予算シート'!$A:$A,0)),"案件が未登録"))</f>
        <v/>
      </c>
      <c r="C200" s="17" t="n"/>
      <c r="D200" s="22">
        <f>IF(C200="","",IFERROR(INDEX('システム'!$B:$B,MATCH(C200,'システム'!$A:$A,0)),"システムが未登録"))</f>
        <v/>
      </c>
    </row>
  </sheetData>
  <dataValidations count="2">
    <dataValidation sqref="A4:A200" showDropDown="0" showInputMessage="0" showErrorMessage="0" allowBlank="1" type="list">
      <formula1>'予算シート'!$A$5:$A$200</formula1>
    </dataValidation>
    <dataValidation sqref="C4:C200" showDropDown="0" showInputMessage="0" showErrorMessage="0" allowBlank="1" type="list">
      <formula1>'システム'!$A$4:$A$200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0" customWidth="1" min="4" max="4"/>
    <col width="10" customWidth="1" min="5" max="5"/>
    <col width="14" customWidth="1" min="6" max="6"/>
    <col width="18" customWidth="1" min="7" max="7"/>
    <col width="22" customWidth="1" min="8" max="8"/>
    <col width="22" customWidth="1" min="9" max="9"/>
    <col width="11" customWidth="1" min="10" max="10"/>
    <col width="12" customWidth="1" min="11" max="11"/>
    <col width="22" customWidth="1" min="12" max="12"/>
    <col width="11" customWidth="1" min="13" max="13"/>
    <col width="14" customWidth="1" min="14" max="14"/>
    <col width="14" customWidth="1" min="15" max="15"/>
  </cols>
  <sheetData>
    <row r="1">
      <c r="A1" s="1" t="inlineStr">
        <is>
          <t>システム（実在のシステム名）</t>
        </is>
      </c>
    </row>
    <row r="2">
      <c r="A2" s="4" t="inlineStr">
        <is>
          <t>1行＝1システム。外部性（利用範囲・データの利用範囲・環境）だけで移管するかを決め、安定性（文書の整備・内部の管理者、GxP対象・個人情報）で移管の順番（初年度／2年目以降）を決める。基準は「判定表」の1〜4。案件との対応は「紐付け」シートに書く。灰色の列は数式。薄い色の3行は記入例。</t>
        </is>
      </c>
    </row>
    <row r="3" ht="34" customHeight="1">
      <c r="A3" s="10" t="inlineStr">
        <is>
          <t>システムID</t>
        </is>
      </c>
      <c r="B3" s="10" t="inlineStr">
        <is>
          <t>システム名</t>
        </is>
      </c>
      <c r="C3" s="10" t="inlineStr">
        <is>
          <t>オーナー部門</t>
        </is>
      </c>
      <c r="D3" s="10" t="inlineStr">
        <is>
          <t>GxP対象</t>
        </is>
      </c>
      <c r="E3" s="10" t="inlineStr">
        <is>
          <t>個人情報</t>
        </is>
      </c>
      <c r="F3" s="10" t="inlineStr">
        <is>
          <t>EOL期限
（決まっていれば日付）</t>
        </is>
      </c>
      <c r="G3" s="10" t="inlineStr">
        <is>
          <t>利用範囲</t>
        </is>
      </c>
      <c r="H3" s="10" t="inlineStr">
        <is>
          <t>データの利用範囲</t>
        </is>
      </c>
      <c r="I3" s="10" t="inlineStr">
        <is>
          <t>環境</t>
        </is>
      </c>
      <c r="J3" s="10" t="inlineStr">
        <is>
          <t>外部性（自動）</t>
        </is>
      </c>
      <c r="K3" s="10" t="inlineStr">
        <is>
          <t>文書の整備</t>
        </is>
      </c>
      <c r="L3" s="10" t="inlineStr">
        <is>
          <t>内部の管理者</t>
        </is>
      </c>
      <c r="M3" s="10" t="inlineStr">
        <is>
          <t>安定性（自動）</t>
        </is>
      </c>
      <c r="N3" s="10" t="inlineStr">
        <is>
          <t>システム移管判定（自動）</t>
        </is>
      </c>
      <c r="O3" s="10" t="inlineStr">
        <is>
          <t>移管時期（自動）</t>
        </is>
      </c>
    </row>
    <row r="4">
      <c r="A4" s="11" t="inlineStr">
        <is>
          <t>SYS-003</t>
        </is>
      </c>
      <c r="B4" s="11" t="inlineStr">
        <is>
          <t>品質文書システム</t>
        </is>
      </c>
      <c r="C4" s="11" t="inlineStr">
        <is>
          <t>品質保証部</t>
        </is>
      </c>
      <c r="D4" s="11" t="inlineStr">
        <is>
          <t>はい</t>
        </is>
      </c>
      <c r="E4" s="11" t="inlineStr">
        <is>
          <t>いいえ</t>
        </is>
      </c>
      <c r="F4" s="28" t="n">
        <v>46843</v>
      </c>
      <c r="G4" s="11" t="inlineStr">
        <is>
          <t>他部門も利用</t>
        </is>
      </c>
      <c r="H4" s="11" t="inlineStr">
        <is>
          <t>他部門・他システムも利用</t>
        </is>
      </c>
      <c r="I4" s="11" t="inlineStr">
        <is>
          <t>自部門専用</t>
        </is>
      </c>
      <c r="J4" s="16">
        <f>IF(A4="","",IF(COUNTA(G4:I4)&lt;3,"判定保留",IFERROR(CHOOSE(MAX(INDEX('判定表'!$D:$D,MATCH("E|利用範囲|"&amp;G4,'判定表'!$A:$A,0)),INDEX('判定表'!$D:$D,MATCH("E|データの利用範囲|"&amp;H4,'判定表'!$A:$A,0)),INDEX('判定表'!$D:$D,MATCH("E|環境|"&amp;I4,'判定表'!$A:$A,0)))+1,"低","中","高"),"判定表にない回答")))</f>
        <v/>
      </c>
      <c r="K4" s="11" t="inlineStr">
        <is>
          <t>一式ある</t>
        </is>
      </c>
      <c r="L4" s="11" t="inlineStr">
        <is>
          <t>いる（内容を判断できる）</t>
        </is>
      </c>
      <c r="M4" s="16">
        <f>IF(A4="","",IF(OR(K4="",L4="",D4="",E4="",D4="未確認",E4="未確認"),"判定保留",IFERROR(IF(OR(D4="はい",E4="はい"),INDEX('判定表'!$D:$D,MATCH("L|"&amp;INDEX('判定表'!$D:$D,MATCH("D|"&amp;K4&amp;"|"&amp;L4,'判定表'!$A:$A,0)),'判定表'!$A:$A,0)),INDEX('判定表'!$D:$D,MATCH("D|"&amp;K4&amp;"|"&amp;L4,'判定表'!$A:$A,0))),"判定表にない組み合わせ")))</f>
        <v/>
      </c>
      <c r="N4" s="16">
        <f>IF(A4="","",IF(J4="判定保留","判定保留",IFERROR(INDEX('判定表'!$D:$D,MATCH("S|"&amp;J4,'判定表'!$A:$A,0)),"判定表にない回答")))</f>
        <v/>
      </c>
      <c r="O4" s="16">
        <f>IF(A4="","",IF(N4="留保","—",IF(OR(N4="判定保留",M4="判定保留"),"判定保留",IFERROR(INDEX('判定表'!$D:$D,MATCH("T|"&amp;J4&amp;"|"&amp;M4,'判定表'!$A:$A,0)),"判定表にない組み合わせ"))))</f>
        <v/>
      </c>
    </row>
    <row r="5">
      <c r="A5" s="11" t="inlineStr">
        <is>
          <t>SYS-012</t>
        </is>
      </c>
      <c r="B5" s="11" t="inlineStr">
        <is>
          <t>研究クラウド基盤</t>
        </is>
      </c>
      <c r="C5" s="11" t="inlineStr">
        <is>
          <t>IT部門</t>
        </is>
      </c>
      <c r="D5" s="11" t="inlineStr">
        <is>
          <t>いいえ</t>
        </is>
      </c>
      <c r="E5" s="11" t="inlineStr">
        <is>
          <t>いいえ</t>
        </is>
      </c>
      <c r="F5" s="28" t="n"/>
      <c r="G5" s="11" t="inlineStr">
        <is>
          <t>他部門も利用</t>
        </is>
      </c>
      <c r="H5" s="11" t="inlineStr">
        <is>
          <t>他部門・他システムも利用</t>
        </is>
      </c>
      <c r="I5" s="11" t="inlineStr">
        <is>
          <t>全社共用の基盤そのもの</t>
        </is>
      </c>
      <c r="J5" s="16">
        <f>IF(A5="","",IF(COUNTA(G5:I5)&lt;3,"判定保留",IFERROR(CHOOSE(MAX(INDEX('判定表'!$D:$D,MATCH("E|利用範囲|"&amp;G5,'判定表'!$A:$A,0)),INDEX('判定表'!$D:$D,MATCH("E|データの利用範囲|"&amp;H5,'判定表'!$A:$A,0)),INDEX('判定表'!$D:$D,MATCH("E|環境|"&amp;I5,'判定表'!$A:$A,0)))+1,"低","中","高"),"判定表にない回答")))</f>
        <v/>
      </c>
      <c r="K5" s="11" t="inlineStr">
        <is>
          <t>一部ある</t>
        </is>
      </c>
      <c r="L5" s="11" t="inlineStr">
        <is>
          <t>名目上いる</t>
        </is>
      </c>
      <c r="M5" s="16">
        <f>IF(A5="","",IF(OR(K5="",L5="",D5="",E5="",D5="未確認",E5="未確認"),"判定保留",IFERROR(IF(OR(D5="はい",E5="はい"),INDEX('判定表'!$D:$D,MATCH("L|"&amp;INDEX('判定表'!$D:$D,MATCH("D|"&amp;K5&amp;"|"&amp;L5,'判定表'!$A:$A,0)),'判定表'!$A:$A,0)),INDEX('判定表'!$D:$D,MATCH("D|"&amp;K5&amp;"|"&amp;L5,'判定表'!$A:$A,0))),"判定表にない組み合わせ")))</f>
        <v/>
      </c>
      <c r="N5" s="16">
        <f>IF(A5="","",IF(J5="判定保留","判定保留",IFERROR(INDEX('判定表'!$D:$D,MATCH("S|"&amp;J5,'判定表'!$A:$A,0)),"判定表にない回答")))</f>
        <v/>
      </c>
      <c r="O5" s="16">
        <f>IF(A5="","",IF(N5="留保","—",IF(OR(N5="判定保留",M5="判定保留"),"判定保留",IFERROR(INDEX('判定表'!$D:$D,MATCH("T|"&amp;J5&amp;"|"&amp;M5,'判定表'!$A:$A,0)),"判定表にない組み合わせ"))))</f>
        <v/>
      </c>
    </row>
    <row r="6">
      <c r="A6" s="11" t="inlineStr">
        <is>
          <t>SYS-041</t>
        </is>
      </c>
      <c r="B6" s="11" t="inlineStr">
        <is>
          <t>実験データ集計ツール</t>
        </is>
      </c>
      <c r="C6" s="11" t="inlineStr">
        <is>
          <t>研究本部</t>
        </is>
      </c>
      <c r="D6" s="11" t="inlineStr">
        <is>
          <t>いいえ</t>
        </is>
      </c>
      <c r="E6" s="11" t="inlineStr">
        <is>
          <t>いいえ</t>
        </is>
      </c>
      <c r="F6" s="28" t="n"/>
      <c r="G6" s="11" t="inlineStr">
        <is>
          <t>自部門のみ</t>
        </is>
      </c>
      <c r="H6" s="11" t="inlineStr">
        <is>
          <t>自部門のみ</t>
        </is>
      </c>
      <c r="I6" s="11" t="inlineStr">
        <is>
          <t>自部門専用</t>
        </is>
      </c>
      <c r="J6" s="16">
        <f>IF(A6="","",IF(COUNTA(G6:I6)&lt;3,"判定保留",IFERROR(CHOOSE(MAX(INDEX('判定表'!$D:$D,MATCH("E|利用範囲|"&amp;G6,'判定表'!$A:$A,0)),INDEX('判定表'!$D:$D,MATCH("E|データの利用範囲|"&amp;H6,'判定表'!$A:$A,0)),INDEX('判定表'!$D:$D,MATCH("E|環境|"&amp;I6,'判定表'!$A:$A,0)))+1,"低","中","高"),"判定表にない回答")))</f>
        <v/>
      </c>
      <c r="K6" s="11" t="inlineStr">
        <is>
          <t>ない</t>
        </is>
      </c>
      <c r="L6" s="11" t="inlineStr">
        <is>
          <t>いる（内容を判断できる）</t>
        </is>
      </c>
      <c r="M6" s="16">
        <f>IF(A6="","",IF(OR(K6="",L6="",D6="",E6="",D6="未確認",E6="未確認"),"判定保留",IFERROR(IF(OR(D6="はい",E6="はい"),INDEX('判定表'!$D:$D,MATCH("L|"&amp;INDEX('判定表'!$D:$D,MATCH("D|"&amp;K6&amp;"|"&amp;L6,'判定表'!$A:$A,0)),'判定表'!$A:$A,0)),INDEX('判定表'!$D:$D,MATCH("D|"&amp;K6&amp;"|"&amp;L6,'判定表'!$A:$A,0))),"判定表にない組み合わせ")))</f>
        <v/>
      </c>
      <c r="N6" s="16">
        <f>IF(A6="","",IF(J6="判定保留","判定保留",IFERROR(INDEX('判定表'!$D:$D,MATCH("S|"&amp;J6,'判定表'!$A:$A,0)),"判定表にない回答")))</f>
        <v/>
      </c>
      <c r="O6" s="16">
        <f>IF(A6="","",IF(N6="留保","—",IF(OR(N6="判定保留",M6="判定保留"),"判定保留",IFERROR(INDEX('判定表'!$D:$D,MATCH("T|"&amp;J6&amp;"|"&amp;M6,'判定表'!$A:$A,0)),"判定表にない組み合わせ"))))</f>
        <v/>
      </c>
    </row>
    <row r="7">
      <c r="A7" s="17" t="n"/>
      <c r="B7" s="17" t="n"/>
      <c r="C7" s="17" t="n"/>
      <c r="D7" s="17" t="n"/>
      <c r="E7" s="17" t="n"/>
      <c r="F7" s="29" t="n"/>
      <c r="G7" s="17" t="n"/>
      <c r="H7" s="17" t="n"/>
      <c r="I7" s="17" t="n"/>
      <c r="J7" s="22">
        <f>IF(A7="","",IF(COUNTA(G7:I7)&lt;3,"判定保留",IFERROR(CHOOSE(MAX(INDEX('判定表'!$D:$D,MATCH("E|利用範囲|"&amp;G7,'判定表'!$A:$A,0)),INDEX('判定表'!$D:$D,MATCH("E|データの利用範囲|"&amp;H7,'判定表'!$A:$A,0)),INDEX('判定表'!$D:$D,MATCH("E|環境|"&amp;I7,'判定表'!$A:$A,0)))+1,"低","中","高"),"判定表にない回答")))</f>
        <v/>
      </c>
      <c r="K7" s="17" t="n"/>
      <c r="L7" s="17" t="n"/>
      <c r="M7" s="22">
        <f>IF(A7="","",IF(OR(K7="",L7="",D7="",E7="",D7="未確認",E7="未確認"),"判定保留",IFERROR(IF(OR(D7="はい",E7="はい"),INDEX('判定表'!$D:$D,MATCH("L|"&amp;INDEX('判定表'!$D:$D,MATCH("D|"&amp;K7&amp;"|"&amp;L7,'判定表'!$A:$A,0)),'判定表'!$A:$A,0)),INDEX('判定表'!$D:$D,MATCH("D|"&amp;K7&amp;"|"&amp;L7,'判定表'!$A:$A,0))),"判定表にない組み合わせ")))</f>
        <v/>
      </c>
      <c r="N7" s="22">
        <f>IF(A7="","",IF(J7="判定保留","判定保留",IFERROR(INDEX('判定表'!$D:$D,MATCH("S|"&amp;J7,'判定表'!$A:$A,0)),"判定表にない回答")))</f>
        <v/>
      </c>
      <c r="O7" s="22">
        <f>IF(A7="","",IF(N7="留保","—",IF(OR(N7="判定保留",M7="判定保留"),"判定保留",IFERROR(INDEX('判定表'!$D:$D,MATCH("T|"&amp;J7&amp;"|"&amp;M7,'判定表'!$A:$A,0)),"判定表にない組み合わせ"))))</f>
        <v/>
      </c>
    </row>
    <row r="8">
      <c r="A8" s="17" t="n"/>
      <c r="B8" s="17" t="n"/>
      <c r="C8" s="17" t="n"/>
      <c r="D8" s="17" t="n"/>
      <c r="E8" s="17" t="n"/>
      <c r="F8" s="29" t="n"/>
      <c r="G8" s="17" t="n"/>
      <c r="H8" s="17" t="n"/>
      <c r="I8" s="17" t="n"/>
      <c r="J8" s="22">
        <f>IF(A8="","",IF(COUNTA(G8:I8)&lt;3,"判定保留",IFERROR(CHOOSE(MAX(INDEX('判定表'!$D:$D,MATCH("E|利用範囲|"&amp;G8,'判定表'!$A:$A,0)),INDEX('判定表'!$D:$D,MATCH("E|データの利用範囲|"&amp;H8,'判定表'!$A:$A,0)),INDEX('判定表'!$D:$D,MATCH("E|環境|"&amp;I8,'判定表'!$A:$A,0)))+1,"低","中","高"),"判定表にない回答")))</f>
        <v/>
      </c>
      <c r="K8" s="17" t="n"/>
      <c r="L8" s="17" t="n"/>
      <c r="M8" s="22">
        <f>IF(A8="","",IF(OR(K8="",L8="",D8="",E8="",D8="未確認",E8="未確認"),"判定保留",IFERROR(IF(OR(D8="はい",E8="はい"),INDEX('判定表'!$D:$D,MATCH("L|"&amp;INDEX('判定表'!$D:$D,MATCH("D|"&amp;K8&amp;"|"&amp;L8,'判定表'!$A:$A,0)),'判定表'!$A:$A,0)),INDEX('判定表'!$D:$D,MATCH("D|"&amp;K8&amp;"|"&amp;L8,'判定表'!$A:$A,0))),"判定表にない組み合わせ")))</f>
        <v/>
      </c>
      <c r="N8" s="22">
        <f>IF(A8="","",IF(J8="判定保留","判定保留",IFERROR(INDEX('判定表'!$D:$D,MATCH("S|"&amp;J8,'判定表'!$A:$A,0)),"判定表にない回答")))</f>
        <v/>
      </c>
      <c r="O8" s="22">
        <f>IF(A8="","",IF(N8="留保","—",IF(OR(N8="判定保留",M8="判定保留"),"判定保留",IFERROR(INDEX('判定表'!$D:$D,MATCH("T|"&amp;J8&amp;"|"&amp;M8,'判定表'!$A:$A,0)),"判定表にない組み合わせ"))))</f>
        <v/>
      </c>
    </row>
    <row r="9">
      <c r="A9" s="17" t="n"/>
      <c r="B9" s="17" t="n"/>
      <c r="C9" s="17" t="n"/>
      <c r="D9" s="17" t="n"/>
      <c r="E9" s="17" t="n"/>
      <c r="F9" s="29" t="n"/>
      <c r="G9" s="17" t="n"/>
      <c r="H9" s="17" t="n"/>
      <c r="I9" s="17" t="n"/>
      <c r="J9" s="22">
        <f>IF(A9="","",IF(COUNTA(G9:I9)&lt;3,"判定保留",IFERROR(CHOOSE(MAX(INDEX('判定表'!$D:$D,MATCH("E|利用範囲|"&amp;G9,'判定表'!$A:$A,0)),INDEX('判定表'!$D:$D,MATCH("E|データの利用範囲|"&amp;H9,'判定表'!$A:$A,0)),INDEX('判定表'!$D:$D,MATCH("E|環境|"&amp;I9,'判定表'!$A:$A,0)))+1,"低","中","高"),"判定表にない回答")))</f>
        <v/>
      </c>
      <c r="K9" s="17" t="n"/>
      <c r="L9" s="17" t="n"/>
      <c r="M9" s="22">
        <f>IF(A9="","",IF(OR(K9="",L9="",D9="",E9="",D9="未確認",E9="未確認"),"判定保留",IFERROR(IF(OR(D9="はい",E9="はい"),INDEX('判定表'!$D:$D,MATCH("L|"&amp;INDEX('判定表'!$D:$D,MATCH("D|"&amp;K9&amp;"|"&amp;L9,'判定表'!$A:$A,0)),'判定表'!$A:$A,0)),INDEX('判定表'!$D:$D,MATCH("D|"&amp;K9&amp;"|"&amp;L9,'判定表'!$A:$A,0))),"判定表にない組み合わせ")))</f>
        <v/>
      </c>
      <c r="N9" s="22">
        <f>IF(A9="","",IF(J9="判定保留","判定保留",IFERROR(INDEX('判定表'!$D:$D,MATCH("S|"&amp;J9,'判定表'!$A:$A,0)),"判定表にない回答")))</f>
        <v/>
      </c>
      <c r="O9" s="22">
        <f>IF(A9="","",IF(N9="留保","—",IF(OR(N9="判定保留",M9="判定保留"),"判定保留",IFERROR(INDEX('判定表'!$D:$D,MATCH("T|"&amp;J9&amp;"|"&amp;M9,'判定表'!$A:$A,0)),"判定表にない組み合わせ"))))</f>
        <v/>
      </c>
    </row>
    <row r="10">
      <c r="A10" s="17" t="n"/>
      <c r="B10" s="17" t="n"/>
      <c r="C10" s="17" t="n"/>
      <c r="D10" s="17" t="n"/>
      <c r="E10" s="17" t="n"/>
      <c r="F10" s="29" t="n"/>
      <c r="G10" s="17" t="n"/>
      <c r="H10" s="17" t="n"/>
      <c r="I10" s="17" t="n"/>
      <c r="J10" s="22">
        <f>IF(A10="","",IF(COUNTA(G10:I10)&lt;3,"判定保留",IFERROR(CHOOSE(MAX(INDEX('判定表'!$D:$D,MATCH("E|利用範囲|"&amp;G10,'判定表'!$A:$A,0)),INDEX('判定表'!$D:$D,MATCH("E|データの利用範囲|"&amp;H10,'判定表'!$A:$A,0)),INDEX('判定表'!$D:$D,MATCH("E|環境|"&amp;I10,'判定表'!$A:$A,0)))+1,"低","中","高"),"判定表にない回答")))</f>
        <v/>
      </c>
      <c r="K10" s="17" t="n"/>
      <c r="L10" s="17" t="n"/>
      <c r="M10" s="22">
        <f>IF(A10="","",IF(OR(K10="",L10="",D10="",E10="",D10="未確認",E10="未確認"),"判定保留",IFERROR(IF(OR(D10="はい",E10="はい"),INDEX('判定表'!$D:$D,MATCH("L|"&amp;INDEX('判定表'!$D:$D,MATCH("D|"&amp;K10&amp;"|"&amp;L10,'判定表'!$A:$A,0)),'判定表'!$A:$A,0)),INDEX('判定表'!$D:$D,MATCH("D|"&amp;K10&amp;"|"&amp;L10,'判定表'!$A:$A,0))),"判定表にない組み合わせ")))</f>
        <v/>
      </c>
      <c r="N10" s="22">
        <f>IF(A10="","",IF(J10="判定保留","判定保留",IFERROR(INDEX('判定表'!$D:$D,MATCH("S|"&amp;J10,'判定表'!$A:$A,0)),"判定表にない回答")))</f>
        <v/>
      </c>
      <c r="O10" s="22">
        <f>IF(A10="","",IF(N10="留保","—",IF(OR(N10="判定保留",M10="判定保留"),"判定保留",IFERROR(INDEX('判定表'!$D:$D,MATCH("T|"&amp;J10&amp;"|"&amp;M10,'判定表'!$A:$A,0)),"判定表にない組み合わせ"))))</f>
        <v/>
      </c>
    </row>
    <row r="11">
      <c r="A11" s="17" t="n"/>
      <c r="B11" s="17" t="n"/>
      <c r="C11" s="17" t="n"/>
      <c r="D11" s="17" t="n"/>
      <c r="E11" s="17" t="n"/>
      <c r="F11" s="29" t="n"/>
      <c r="G11" s="17" t="n"/>
      <c r="H11" s="17" t="n"/>
      <c r="I11" s="17" t="n"/>
      <c r="J11" s="22">
        <f>IF(A11="","",IF(COUNTA(G11:I11)&lt;3,"判定保留",IFERROR(CHOOSE(MAX(INDEX('判定表'!$D:$D,MATCH("E|利用範囲|"&amp;G11,'判定表'!$A:$A,0)),INDEX('判定表'!$D:$D,MATCH("E|データの利用範囲|"&amp;H11,'判定表'!$A:$A,0)),INDEX('判定表'!$D:$D,MATCH("E|環境|"&amp;I11,'判定表'!$A:$A,0)))+1,"低","中","高"),"判定表にない回答")))</f>
        <v/>
      </c>
      <c r="K11" s="17" t="n"/>
      <c r="L11" s="17" t="n"/>
      <c r="M11" s="22">
        <f>IF(A11="","",IF(OR(K11="",L11="",D11="",E11="",D11="未確認",E11="未確認"),"判定保留",IFERROR(IF(OR(D11="はい",E11="はい"),INDEX('判定表'!$D:$D,MATCH("L|"&amp;INDEX('判定表'!$D:$D,MATCH("D|"&amp;K11&amp;"|"&amp;L11,'判定表'!$A:$A,0)),'判定表'!$A:$A,0)),INDEX('判定表'!$D:$D,MATCH("D|"&amp;K11&amp;"|"&amp;L11,'判定表'!$A:$A,0))),"判定表にない組み合わせ")))</f>
        <v/>
      </c>
      <c r="N11" s="22">
        <f>IF(A11="","",IF(J11="判定保留","判定保留",IFERROR(INDEX('判定表'!$D:$D,MATCH("S|"&amp;J11,'判定表'!$A:$A,0)),"判定表にない回答")))</f>
        <v/>
      </c>
      <c r="O11" s="22">
        <f>IF(A11="","",IF(N11="留保","—",IF(OR(N11="判定保留",M11="判定保留"),"判定保留",IFERROR(INDEX('判定表'!$D:$D,MATCH("T|"&amp;J11&amp;"|"&amp;M11,'判定表'!$A:$A,0)),"判定表にない組み合わせ"))))</f>
        <v/>
      </c>
    </row>
    <row r="12">
      <c r="A12" s="17" t="n"/>
      <c r="B12" s="17" t="n"/>
      <c r="C12" s="17" t="n"/>
      <c r="D12" s="17" t="n"/>
      <c r="E12" s="17" t="n"/>
      <c r="F12" s="29" t="n"/>
      <c r="G12" s="17" t="n"/>
      <c r="H12" s="17" t="n"/>
      <c r="I12" s="17" t="n"/>
      <c r="J12" s="22">
        <f>IF(A12="","",IF(COUNTA(G12:I12)&lt;3,"判定保留",IFERROR(CHOOSE(MAX(INDEX('判定表'!$D:$D,MATCH("E|利用範囲|"&amp;G12,'判定表'!$A:$A,0)),INDEX('判定表'!$D:$D,MATCH("E|データの利用範囲|"&amp;H12,'判定表'!$A:$A,0)),INDEX('判定表'!$D:$D,MATCH("E|環境|"&amp;I12,'判定表'!$A:$A,0)))+1,"低","中","高"),"判定表にない回答")))</f>
        <v/>
      </c>
      <c r="K12" s="17" t="n"/>
      <c r="L12" s="17" t="n"/>
      <c r="M12" s="22">
        <f>IF(A12="","",IF(OR(K12="",L12="",D12="",E12="",D12="未確認",E12="未確認"),"判定保留",IFERROR(IF(OR(D12="はい",E12="はい"),INDEX('判定表'!$D:$D,MATCH("L|"&amp;INDEX('判定表'!$D:$D,MATCH("D|"&amp;K12&amp;"|"&amp;L12,'判定表'!$A:$A,0)),'判定表'!$A:$A,0)),INDEX('判定表'!$D:$D,MATCH("D|"&amp;K12&amp;"|"&amp;L12,'判定表'!$A:$A,0))),"判定表にない組み合わせ")))</f>
        <v/>
      </c>
      <c r="N12" s="22">
        <f>IF(A12="","",IF(J12="判定保留","判定保留",IFERROR(INDEX('判定表'!$D:$D,MATCH("S|"&amp;J12,'判定表'!$A:$A,0)),"判定表にない回答")))</f>
        <v/>
      </c>
      <c r="O12" s="22">
        <f>IF(A12="","",IF(N12="留保","—",IF(OR(N12="判定保留",M12="判定保留"),"判定保留",IFERROR(INDEX('判定表'!$D:$D,MATCH("T|"&amp;J12&amp;"|"&amp;M12,'判定表'!$A:$A,0)),"判定表にない組み合わせ"))))</f>
        <v/>
      </c>
    </row>
    <row r="13">
      <c r="A13" s="17" t="n"/>
      <c r="B13" s="17" t="n"/>
      <c r="C13" s="17" t="n"/>
      <c r="D13" s="17" t="n"/>
      <c r="E13" s="17" t="n"/>
      <c r="F13" s="29" t="n"/>
      <c r="G13" s="17" t="n"/>
      <c r="H13" s="17" t="n"/>
      <c r="I13" s="17" t="n"/>
      <c r="J13" s="22">
        <f>IF(A13="","",IF(COUNTA(G13:I13)&lt;3,"判定保留",IFERROR(CHOOSE(MAX(INDEX('判定表'!$D:$D,MATCH("E|利用範囲|"&amp;G13,'判定表'!$A:$A,0)),INDEX('判定表'!$D:$D,MATCH("E|データの利用範囲|"&amp;H13,'判定表'!$A:$A,0)),INDEX('判定表'!$D:$D,MATCH("E|環境|"&amp;I13,'判定表'!$A:$A,0)))+1,"低","中","高"),"判定表にない回答")))</f>
        <v/>
      </c>
      <c r="K13" s="17" t="n"/>
      <c r="L13" s="17" t="n"/>
      <c r="M13" s="22">
        <f>IF(A13="","",IF(OR(K13="",L13="",D13="",E13="",D13="未確認",E13="未確認"),"判定保留",IFERROR(IF(OR(D13="はい",E13="はい"),INDEX('判定表'!$D:$D,MATCH("L|"&amp;INDEX('判定表'!$D:$D,MATCH("D|"&amp;K13&amp;"|"&amp;L13,'判定表'!$A:$A,0)),'判定表'!$A:$A,0)),INDEX('判定表'!$D:$D,MATCH("D|"&amp;K13&amp;"|"&amp;L13,'判定表'!$A:$A,0))),"判定表にない組み合わせ")))</f>
        <v/>
      </c>
      <c r="N13" s="22">
        <f>IF(A13="","",IF(J13="判定保留","判定保留",IFERROR(INDEX('判定表'!$D:$D,MATCH("S|"&amp;J13,'判定表'!$A:$A,0)),"判定表にない回答")))</f>
        <v/>
      </c>
      <c r="O13" s="22">
        <f>IF(A13="","",IF(N13="留保","—",IF(OR(N13="判定保留",M13="判定保留"),"判定保留",IFERROR(INDEX('判定表'!$D:$D,MATCH("T|"&amp;J13&amp;"|"&amp;M13,'判定表'!$A:$A,0)),"判定表にない組み合わせ"))))</f>
        <v/>
      </c>
    </row>
    <row r="14">
      <c r="A14" s="17" t="n"/>
      <c r="B14" s="17" t="n"/>
      <c r="C14" s="17" t="n"/>
      <c r="D14" s="17" t="n"/>
      <c r="E14" s="17" t="n"/>
      <c r="F14" s="29" t="n"/>
      <c r="G14" s="17" t="n"/>
      <c r="H14" s="17" t="n"/>
      <c r="I14" s="17" t="n"/>
      <c r="J14" s="22">
        <f>IF(A14="","",IF(COUNTA(G14:I14)&lt;3,"判定保留",IFERROR(CHOOSE(MAX(INDEX('判定表'!$D:$D,MATCH("E|利用範囲|"&amp;G14,'判定表'!$A:$A,0)),INDEX('判定表'!$D:$D,MATCH("E|データの利用範囲|"&amp;H14,'判定表'!$A:$A,0)),INDEX('判定表'!$D:$D,MATCH("E|環境|"&amp;I14,'判定表'!$A:$A,0)))+1,"低","中","高"),"判定表にない回答")))</f>
        <v/>
      </c>
      <c r="K14" s="17" t="n"/>
      <c r="L14" s="17" t="n"/>
      <c r="M14" s="22">
        <f>IF(A14="","",IF(OR(K14="",L14="",D14="",E14="",D14="未確認",E14="未確認"),"判定保留",IFERROR(IF(OR(D14="はい",E14="はい"),INDEX('判定表'!$D:$D,MATCH("L|"&amp;INDEX('判定表'!$D:$D,MATCH("D|"&amp;K14&amp;"|"&amp;L14,'判定表'!$A:$A,0)),'判定表'!$A:$A,0)),INDEX('判定表'!$D:$D,MATCH("D|"&amp;K14&amp;"|"&amp;L14,'判定表'!$A:$A,0))),"判定表にない組み合わせ")))</f>
        <v/>
      </c>
      <c r="N14" s="22">
        <f>IF(A14="","",IF(J14="判定保留","判定保留",IFERROR(INDEX('判定表'!$D:$D,MATCH("S|"&amp;J14,'判定表'!$A:$A,0)),"判定表にない回答")))</f>
        <v/>
      </c>
      <c r="O14" s="22">
        <f>IF(A14="","",IF(N14="留保","—",IF(OR(N14="判定保留",M14="判定保留"),"判定保留",IFERROR(INDEX('判定表'!$D:$D,MATCH("T|"&amp;J14&amp;"|"&amp;M14,'判定表'!$A:$A,0)),"判定表にない組み合わせ"))))</f>
        <v/>
      </c>
    </row>
    <row r="15">
      <c r="A15" s="17" t="n"/>
      <c r="B15" s="17" t="n"/>
      <c r="C15" s="17" t="n"/>
      <c r="D15" s="17" t="n"/>
      <c r="E15" s="17" t="n"/>
      <c r="F15" s="29" t="n"/>
      <c r="G15" s="17" t="n"/>
      <c r="H15" s="17" t="n"/>
      <c r="I15" s="17" t="n"/>
      <c r="J15" s="22">
        <f>IF(A15="","",IF(COUNTA(G15:I15)&lt;3,"判定保留",IFERROR(CHOOSE(MAX(INDEX('判定表'!$D:$D,MATCH("E|利用範囲|"&amp;G15,'判定表'!$A:$A,0)),INDEX('判定表'!$D:$D,MATCH("E|データの利用範囲|"&amp;H15,'判定表'!$A:$A,0)),INDEX('判定表'!$D:$D,MATCH("E|環境|"&amp;I15,'判定表'!$A:$A,0)))+1,"低","中","高"),"判定表にない回答")))</f>
        <v/>
      </c>
      <c r="K15" s="17" t="n"/>
      <c r="L15" s="17" t="n"/>
      <c r="M15" s="22">
        <f>IF(A15="","",IF(OR(K15="",L15="",D15="",E15="",D15="未確認",E15="未確認"),"判定保留",IFERROR(IF(OR(D15="はい",E15="はい"),INDEX('判定表'!$D:$D,MATCH("L|"&amp;INDEX('判定表'!$D:$D,MATCH("D|"&amp;K15&amp;"|"&amp;L15,'判定表'!$A:$A,0)),'判定表'!$A:$A,0)),INDEX('判定表'!$D:$D,MATCH("D|"&amp;K15&amp;"|"&amp;L15,'判定表'!$A:$A,0))),"判定表にない組み合わせ")))</f>
        <v/>
      </c>
      <c r="N15" s="22">
        <f>IF(A15="","",IF(J15="判定保留","判定保留",IFERROR(INDEX('判定表'!$D:$D,MATCH("S|"&amp;J15,'判定表'!$A:$A,0)),"判定表にない回答")))</f>
        <v/>
      </c>
      <c r="O15" s="22">
        <f>IF(A15="","",IF(N15="留保","—",IF(OR(N15="判定保留",M15="判定保留"),"判定保留",IFERROR(INDEX('判定表'!$D:$D,MATCH("T|"&amp;J15&amp;"|"&amp;M15,'判定表'!$A:$A,0)),"判定表にない組み合わせ"))))</f>
        <v/>
      </c>
    </row>
    <row r="16">
      <c r="A16" s="17" t="n"/>
      <c r="B16" s="17" t="n"/>
      <c r="C16" s="17" t="n"/>
      <c r="D16" s="17" t="n"/>
      <c r="E16" s="17" t="n"/>
      <c r="F16" s="29" t="n"/>
      <c r="G16" s="17" t="n"/>
      <c r="H16" s="17" t="n"/>
      <c r="I16" s="17" t="n"/>
      <c r="J16" s="22">
        <f>IF(A16="","",IF(COUNTA(G16:I16)&lt;3,"判定保留",IFERROR(CHOOSE(MAX(INDEX('判定表'!$D:$D,MATCH("E|利用範囲|"&amp;G16,'判定表'!$A:$A,0)),INDEX('判定表'!$D:$D,MATCH("E|データの利用範囲|"&amp;H16,'判定表'!$A:$A,0)),INDEX('判定表'!$D:$D,MATCH("E|環境|"&amp;I16,'判定表'!$A:$A,0)))+1,"低","中","高"),"判定表にない回答")))</f>
        <v/>
      </c>
      <c r="K16" s="17" t="n"/>
      <c r="L16" s="17" t="n"/>
      <c r="M16" s="22">
        <f>IF(A16="","",IF(OR(K16="",L16="",D16="",E16="",D16="未確認",E16="未確認"),"判定保留",IFERROR(IF(OR(D16="はい",E16="はい"),INDEX('判定表'!$D:$D,MATCH("L|"&amp;INDEX('判定表'!$D:$D,MATCH("D|"&amp;K16&amp;"|"&amp;L16,'判定表'!$A:$A,0)),'判定表'!$A:$A,0)),INDEX('判定表'!$D:$D,MATCH("D|"&amp;K16&amp;"|"&amp;L16,'判定表'!$A:$A,0))),"判定表にない組み合わせ")))</f>
        <v/>
      </c>
      <c r="N16" s="22">
        <f>IF(A16="","",IF(J16="判定保留","判定保留",IFERROR(INDEX('判定表'!$D:$D,MATCH("S|"&amp;J16,'判定表'!$A:$A,0)),"判定表にない回答")))</f>
        <v/>
      </c>
      <c r="O16" s="22">
        <f>IF(A16="","",IF(N16="留保","—",IF(OR(N16="判定保留",M16="判定保留"),"判定保留",IFERROR(INDEX('判定表'!$D:$D,MATCH("T|"&amp;J16&amp;"|"&amp;M16,'判定表'!$A:$A,0)),"判定表にない組み合わせ"))))</f>
        <v/>
      </c>
    </row>
    <row r="17">
      <c r="A17" s="17" t="n"/>
      <c r="B17" s="17" t="n"/>
      <c r="C17" s="17" t="n"/>
      <c r="D17" s="17" t="n"/>
      <c r="E17" s="17" t="n"/>
      <c r="F17" s="29" t="n"/>
      <c r="G17" s="17" t="n"/>
      <c r="H17" s="17" t="n"/>
      <c r="I17" s="17" t="n"/>
      <c r="J17" s="22">
        <f>IF(A17="","",IF(COUNTA(G17:I17)&lt;3,"判定保留",IFERROR(CHOOSE(MAX(INDEX('判定表'!$D:$D,MATCH("E|利用範囲|"&amp;G17,'判定表'!$A:$A,0)),INDEX('判定表'!$D:$D,MATCH("E|データの利用範囲|"&amp;H17,'判定表'!$A:$A,0)),INDEX('判定表'!$D:$D,MATCH("E|環境|"&amp;I17,'判定表'!$A:$A,0)))+1,"低","中","高"),"判定表にない回答")))</f>
        <v/>
      </c>
      <c r="K17" s="17" t="n"/>
      <c r="L17" s="17" t="n"/>
      <c r="M17" s="22">
        <f>IF(A17="","",IF(OR(K17="",L17="",D17="",E17="",D17="未確認",E17="未確認"),"判定保留",IFERROR(IF(OR(D17="はい",E17="はい"),INDEX('判定表'!$D:$D,MATCH("L|"&amp;INDEX('判定表'!$D:$D,MATCH("D|"&amp;K17&amp;"|"&amp;L17,'判定表'!$A:$A,0)),'判定表'!$A:$A,0)),INDEX('判定表'!$D:$D,MATCH("D|"&amp;K17&amp;"|"&amp;L17,'判定表'!$A:$A,0))),"判定表にない組み合わせ")))</f>
        <v/>
      </c>
      <c r="N17" s="22">
        <f>IF(A17="","",IF(J17="判定保留","判定保留",IFERROR(INDEX('判定表'!$D:$D,MATCH("S|"&amp;J17,'判定表'!$A:$A,0)),"判定表にない回答")))</f>
        <v/>
      </c>
      <c r="O17" s="22">
        <f>IF(A17="","",IF(N17="留保","—",IF(OR(N17="判定保留",M17="判定保留"),"判定保留",IFERROR(INDEX('判定表'!$D:$D,MATCH("T|"&amp;J17&amp;"|"&amp;M17,'判定表'!$A:$A,0)),"判定表にない組み合わせ"))))</f>
        <v/>
      </c>
    </row>
    <row r="18">
      <c r="A18" s="17" t="n"/>
      <c r="B18" s="17" t="n"/>
      <c r="C18" s="17" t="n"/>
      <c r="D18" s="17" t="n"/>
      <c r="E18" s="17" t="n"/>
      <c r="F18" s="29" t="n"/>
      <c r="G18" s="17" t="n"/>
      <c r="H18" s="17" t="n"/>
      <c r="I18" s="17" t="n"/>
      <c r="J18" s="22">
        <f>IF(A18="","",IF(COUNTA(G18:I18)&lt;3,"判定保留",IFERROR(CHOOSE(MAX(INDEX('判定表'!$D:$D,MATCH("E|利用範囲|"&amp;G18,'判定表'!$A:$A,0)),INDEX('判定表'!$D:$D,MATCH("E|データの利用範囲|"&amp;H18,'判定表'!$A:$A,0)),INDEX('判定表'!$D:$D,MATCH("E|環境|"&amp;I18,'判定表'!$A:$A,0)))+1,"低","中","高"),"判定表にない回答")))</f>
        <v/>
      </c>
      <c r="K18" s="17" t="n"/>
      <c r="L18" s="17" t="n"/>
      <c r="M18" s="22">
        <f>IF(A18="","",IF(OR(K18="",L18="",D18="",E18="",D18="未確認",E18="未確認"),"判定保留",IFERROR(IF(OR(D18="はい",E18="はい"),INDEX('判定表'!$D:$D,MATCH("L|"&amp;INDEX('判定表'!$D:$D,MATCH("D|"&amp;K18&amp;"|"&amp;L18,'判定表'!$A:$A,0)),'判定表'!$A:$A,0)),INDEX('判定表'!$D:$D,MATCH("D|"&amp;K18&amp;"|"&amp;L18,'判定表'!$A:$A,0))),"判定表にない組み合わせ")))</f>
        <v/>
      </c>
      <c r="N18" s="22">
        <f>IF(A18="","",IF(J18="判定保留","判定保留",IFERROR(INDEX('判定表'!$D:$D,MATCH("S|"&amp;J18,'判定表'!$A:$A,0)),"判定表にない回答")))</f>
        <v/>
      </c>
      <c r="O18" s="22">
        <f>IF(A18="","",IF(N18="留保","—",IF(OR(N18="判定保留",M18="判定保留"),"判定保留",IFERROR(INDEX('判定表'!$D:$D,MATCH("T|"&amp;J18&amp;"|"&amp;M18,'判定表'!$A:$A,0)),"判定表にない組み合わせ"))))</f>
        <v/>
      </c>
    </row>
    <row r="19">
      <c r="A19" s="17" t="n"/>
      <c r="B19" s="17" t="n"/>
      <c r="C19" s="17" t="n"/>
      <c r="D19" s="17" t="n"/>
      <c r="E19" s="17" t="n"/>
      <c r="F19" s="29" t="n"/>
      <c r="G19" s="17" t="n"/>
      <c r="H19" s="17" t="n"/>
      <c r="I19" s="17" t="n"/>
      <c r="J19" s="22">
        <f>IF(A19="","",IF(COUNTA(G19:I19)&lt;3,"判定保留",IFERROR(CHOOSE(MAX(INDEX('判定表'!$D:$D,MATCH("E|利用範囲|"&amp;G19,'判定表'!$A:$A,0)),INDEX('判定表'!$D:$D,MATCH("E|データの利用範囲|"&amp;H19,'判定表'!$A:$A,0)),INDEX('判定表'!$D:$D,MATCH("E|環境|"&amp;I19,'判定表'!$A:$A,0)))+1,"低","中","高"),"判定表にない回答")))</f>
        <v/>
      </c>
      <c r="K19" s="17" t="n"/>
      <c r="L19" s="17" t="n"/>
      <c r="M19" s="22">
        <f>IF(A19="","",IF(OR(K19="",L19="",D19="",E19="",D19="未確認",E19="未確認"),"判定保留",IFERROR(IF(OR(D19="はい",E19="はい"),INDEX('判定表'!$D:$D,MATCH("L|"&amp;INDEX('判定表'!$D:$D,MATCH("D|"&amp;K19&amp;"|"&amp;L19,'判定表'!$A:$A,0)),'判定表'!$A:$A,0)),INDEX('判定表'!$D:$D,MATCH("D|"&amp;K19&amp;"|"&amp;L19,'判定表'!$A:$A,0))),"判定表にない組み合わせ")))</f>
        <v/>
      </c>
      <c r="N19" s="22">
        <f>IF(A19="","",IF(J19="判定保留","判定保留",IFERROR(INDEX('判定表'!$D:$D,MATCH("S|"&amp;J19,'判定表'!$A:$A,0)),"判定表にない回答")))</f>
        <v/>
      </c>
      <c r="O19" s="22">
        <f>IF(A19="","",IF(N19="留保","—",IF(OR(N19="判定保留",M19="判定保留"),"判定保留",IFERROR(INDEX('判定表'!$D:$D,MATCH("T|"&amp;J19&amp;"|"&amp;M19,'判定表'!$A:$A,0)),"判定表にない組み合わせ"))))</f>
        <v/>
      </c>
    </row>
    <row r="20">
      <c r="A20" s="17" t="n"/>
      <c r="B20" s="17" t="n"/>
      <c r="C20" s="17" t="n"/>
      <c r="D20" s="17" t="n"/>
      <c r="E20" s="17" t="n"/>
      <c r="F20" s="29" t="n"/>
      <c r="G20" s="17" t="n"/>
      <c r="H20" s="17" t="n"/>
      <c r="I20" s="17" t="n"/>
      <c r="J20" s="22">
        <f>IF(A20="","",IF(COUNTA(G20:I20)&lt;3,"判定保留",IFERROR(CHOOSE(MAX(INDEX('判定表'!$D:$D,MATCH("E|利用範囲|"&amp;G20,'判定表'!$A:$A,0)),INDEX('判定表'!$D:$D,MATCH("E|データの利用範囲|"&amp;H20,'判定表'!$A:$A,0)),INDEX('判定表'!$D:$D,MATCH("E|環境|"&amp;I20,'判定表'!$A:$A,0)))+1,"低","中","高"),"判定表にない回答")))</f>
        <v/>
      </c>
      <c r="K20" s="17" t="n"/>
      <c r="L20" s="17" t="n"/>
      <c r="M20" s="22">
        <f>IF(A20="","",IF(OR(K20="",L20="",D20="",E20="",D20="未確認",E20="未確認"),"判定保留",IFERROR(IF(OR(D20="はい",E20="はい"),INDEX('判定表'!$D:$D,MATCH("L|"&amp;INDEX('判定表'!$D:$D,MATCH("D|"&amp;K20&amp;"|"&amp;L20,'判定表'!$A:$A,0)),'判定表'!$A:$A,0)),INDEX('判定表'!$D:$D,MATCH("D|"&amp;K20&amp;"|"&amp;L20,'判定表'!$A:$A,0))),"判定表にない組み合わせ")))</f>
        <v/>
      </c>
      <c r="N20" s="22">
        <f>IF(A20="","",IF(J20="判定保留","判定保留",IFERROR(INDEX('判定表'!$D:$D,MATCH("S|"&amp;J20,'判定表'!$A:$A,0)),"判定表にない回答")))</f>
        <v/>
      </c>
      <c r="O20" s="22">
        <f>IF(A20="","",IF(N20="留保","—",IF(OR(N20="判定保留",M20="判定保留"),"判定保留",IFERROR(INDEX('判定表'!$D:$D,MATCH("T|"&amp;J20&amp;"|"&amp;M20,'判定表'!$A:$A,0)),"判定表にない組み合わせ"))))</f>
        <v/>
      </c>
    </row>
    <row r="21">
      <c r="A21" s="17" t="n"/>
      <c r="B21" s="17" t="n"/>
      <c r="C21" s="17" t="n"/>
      <c r="D21" s="17" t="n"/>
      <c r="E21" s="17" t="n"/>
      <c r="F21" s="29" t="n"/>
      <c r="G21" s="17" t="n"/>
      <c r="H21" s="17" t="n"/>
      <c r="I21" s="17" t="n"/>
      <c r="J21" s="22">
        <f>IF(A21="","",IF(COUNTA(G21:I21)&lt;3,"判定保留",IFERROR(CHOOSE(MAX(INDEX('判定表'!$D:$D,MATCH("E|利用範囲|"&amp;G21,'判定表'!$A:$A,0)),INDEX('判定表'!$D:$D,MATCH("E|データの利用範囲|"&amp;H21,'判定表'!$A:$A,0)),INDEX('判定表'!$D:$D,MATCH("E|環境|"&amp;I21,'判定表'!$A:$A,0)))+1,"低","中","高"),"判定表にない回答")))</f>
        <v/>
      </c>
      <c r="K21" s="17" t="n"/>
      <c r="L21" s="17" t="n"/>
      <c r="M21" s="22">
        <f>IF(A21="","",IF(OR(K21="",L21="",D21="",E21="",D21="未確認",E21="未確認"),"判定保留",IFERROR(IF(OR(D21="はい",E21="はい"),INDEX('判定表'!$D:$D,MATCH("L|"&amp;INDEX('判定表'!$D:$D,MATCH("D|"&amp;K21&amp;"|"&amp;L21,'判定表'!$A:$A,0)),'判定表'!$A:$A,0)),INDEX('判定表'!$D:$D,MATCH("D|"&amp;K21&amp;"|"&amp;L21,'判定表'!$A:$A,0))),"判定表にない組み合わせ")))</f>
        <v/>
      </c>
      <c r="N21" s="22">
        <f>IF(A21="","",IF(J21="判定保留","判定保留",IFERROR(INDEX('判定表'!$D:$D,MATCH("S|"&amp;J21,'判定表'!$A:$A,0)),"判定表にない回答")))</f>
        <v/>
      </c>
      <c r="O21" s="22">
        <f>IF(A21="","",IF(N21="留保","—",IF(OR(N21="判定保留",M21="判定保留"),"判定保留",IFERROR(INDEX('判定表'!$D:$D,MATCH("T|"&amp;J21&amp;"|"&amp;M21,'判定表'!$A:$A,0)),"判定表にない組み合わせ"))))</f>
        <v/>
      </c>
    </row>
    <row r="22">
      <c r="A22" s="17" t="n"/>
      <c r="B22" s="17" t="n"/>
      <c r="C22" s="17" t="n"/>
      <c r="D22" s="17" t="n"/>
      <c r="E22" s="17" t="n"/>
      <c r="F22" s="29" t="n"/>
      <c r="G22" s="17" t="n"/>
      <c r="H22" s="17" t="n"/>
      <c r="I22" s="17" t="n"/>
      <c r="J22" s="22">
        <f>IF(A22="","",IF(COUNTA(G22:I22)&lt;3,"判定保留",IFERROR(CHOOSE(MAX(INDEX('判定表'!$D:$D,MATCH("E|利用範囲|"&amp;G22,'判定表'!$A:$A,0)),INDEX('判定表'!$D:$D,MATCH("E|データの利用範囲|"&amp;H22,'判定表'!$A:$A,0)),INDEX('判定表'!$D:$D,MATCH("E|環境|"&amp;I22,'判定表'!$A:$A,0)))+1,"低","中","高"),"判定表にない回答")))</f>
        <v/>
      </c>
      <c r="K22" s="17" t="n"/>
      <c r="L22" s="17" t="n"/>
      <c r="M22" s="22">
        <f>IF(A22="","",IF(OR(K22="",L22="",D22="",E22="",D22="未確認",E22="未確認"),"判定保留",IFERROR(IF(OR(D22="はい",E22="はい"),INDEX('判定表'!$D:$D,MATCH("L|"&amp;INDEX('判定表'!$D:$D,MATCH("D|"&amp;K22&amp;"|"&amp;L22,'判定表'!$A:$A,0)),'判定表'!$A:$A,0)),INDEX('判定表'!$D:$D,MATCH("D|"&amp;K22&amp;"|"&amp;L22,'判定表'!$A:$A,0))),"判定表にない組み合わせ")))</f>
        <v/>
      </c>
      <c r="N22" s="22">
        <f>IF(A22="","",IF(J22="判定保留","判定保留",IFERROR(INDEX('判定表'!$D:$D,MATCH("S|"&amp;J22,'判定表'!$A:$A,0)),"判定表にない回答")))</f>
        <v/>
      </c>
      <c r="O22" s="22">
        <f>IF(A22="","",IF(N22="留保","—",IF(OR(N22="判定保留",M22="判定保留"),"判定保留",IFERROR(INDEX('判定表'!$D:$D,MATCH("T|"&amp;J22&amp;"|"&amp;M22,'判定表'!$A:$A,0)),"判定表にない組み合わせ"))))</f>
        <v/>
      </c>
    </row>
    <row r="23">
      <c r="A23" s="17" t="n"/>
      <c r="B23" s="17" t="n"/>
      <c r="C23" s="17" t="n"/>
      <c r="D23" s="17" t="n"/>
      <c r="E23" s="17" t="n"/>
      <c r="F23" s="29" t="n"/>
      <c r="G23" s="17" t="n"/>
      <c r="H23" s="17" t="n"/>
      <c r="I23" s="17" t="n"/>
      <c r="J23" s="22">
        <f>IF(A23="","",IF(COUNTA(G23:I23)&lt;3,"判定保留",IFERROR(CHOOSE(MAX(INDEX('判定表'!$D:$D,MATCH("E|利用範囲|"&amp;G23,'判定表'!$A:$A,0)),INDEX('判定表'!$D:$D,MATCH("E|データの利用範囲|"&amp;H23,'判定表'!$A:$A,0)),INDEX('判定表'!$D:$D,MATCH("E|環境|"&amp;I23,'判定表'!$A:$A,0)))+1,"低","中","高"),"判定表にない回答")))</f>
        <v/>
      </c>
      <c r="K23" s="17" t="n"/>
      <c r="L23" s="17" t="n"/>
      <c r="M23" s="22">
        <f>IF(A23="","",IF(OR(K23="",L23="",D23="",E23="",D23="未確認",E23="未確認"),"判定保留",IFERROR(IF(OR(D23="はい",E23="はい"),INDEX('判定表'!$D:$D,MATCH("L|"&amp;INDEX('判定表'!$D:$D,MATCH("D|"&amp;K23&amp;"|"&amp;L23,'判定表'!$A:$A,0)),'判定表'!$A:$A,0)),INDEX('判定表'!$D:$D,MATCH("D|"&amp;K23&amp;"|"&amp;L23,'判定表'!$A:$A,0))),"判定表にない組み合わせ")))</f>
        <v/>
      </c>
      <c r="N23" s="22">
        <f>IF(A23="","",IF(J23="判定保留","判定保留",IFERROR(INDEX('判定表'!$D:$D,MATCH("S|"&amp;J23,'判定表'!$A:$A,0)),"判定表にない回答")))</f>
        <v/>
      </c>
      <c r="O23" s="22">
        <f>IF(A23="","",IF(N23="留保","—",IF(OR(N23="判定保留",M23="判定保留"),"判定保留",IFERROR(INDEX('判定表'!$D:$D,MATCH("T|"&amp;J23&amp;"|"&amp;M23,'判定表'!$A:$A,0)),"判定表にない組み合わせ"))))</f>
        <v/>
      </c>
    </row>
    <row r="24">
      <c r="A24" s="17" t="n"/>
      <c r="B24" s="17" t="n"/>
      <c r="C24" s="17" t="n"/>
      <c r="D24" s="17" t="n"/>
      <c r="E24" s="17" t="n"/>
      <c r="F24" s="29" t="n"/>
      <c r="G24" s="17" t="n"/>
      <c r="H24" s="17" t="n"/>
      <c r="I24" s="17" t="n"/>
      <c r="J24" s="22">
        <f>IF(A24="","",IF(COUNTA(G24:I24)&lt;3,"判定保留",IFERROR(CHOOSE(MAX(INDEX('判定表'!$D:$D,MATCH("E|利用範囲|"&amp;G24,'判定表'!$A:$A,0)),INDEX('判定表'!$D:$D,MATCH("E|データの利用範囲|"&amp;H24,'判定表'!$A:$A,0)),INDEX('判定表'!$D:$D,MATCH("E|環境|"&amp;I24,'判定表'!$A:$A,0)))+1,"低","中","高"),"判定表にない回答")))</f>
        <v/>
      </c>
      <c r="K24" s="17" t="n"/>
      <c r="L24" s="17" t="n"/>
      <c r="M24" s="22">
        <f>IF(A24="","",IF(OR(K24="",L24="",D24="",E24="",D24="未確認",E24="未確認"),"判定保留",IFERROR(IF(OR(D24="はい",E24="はい"),INDEX('判定表'!$D:$D,MATCH("L|"&amp;INDEX('判定表'!$D:$D,MATCH("D|"&amp;K24&amp;"|"&amp;L24,'判定表'!$A:$A,0)),'判定表'!$A:$A,0)),INDEX('判定表'!$D:$D,MATCH("D|"&amp;K24&amp;"|"&amp;L24,'判定表'!$A:$A,0))),"判定表にない組み合わせ")))</f>
        <v/>
      </c>
      <c r="N24" s="22">
        <f>IF(A24="","",IF(J24="判定保留","判定保留",IFERROR(INDEX('判定表'!$D:$D,MATCH("S|"&amp;J24,'判定表'!$A:$A,0)),"判定表にない回答")))</f>
        <v/>
      </c>
      <c r="O24" s="22">
        <f>IF(A24="","",IF(N24="留保","—",IF(OR(N24="判定保留",M24="判定保留"),"判定保留",IFERROR(INDEX('判定表'!$D:$D,MATCH("T|"&amp;J24&amp;"|"&amp;M24,'判定表'!$A:$A,0)),"判定表にない組み合わせ"))))</f>
        <v/>
      </c>
    </row>
    <row r="25">
      <c r="A25" s="17" t="n"/>
      <c r="B25" s="17" t="n"/>
      <c r="C25" s="17" t="n"/>
      <c r="D25" s="17" t="n"/>
      <c r="E25" s="17" t="n"/>
      <c r="F25" s="29" t="n"/>
      <c r="G25" s="17" t="n"/>
      <c r="H25" s="17" t="n"/>
      <c r="I25" s="17" t="n"/>
      <c r="J25" s="22">
        <f>IF(A25="","",IF(COUNTA(G25:I25)&lt;3,"判定保留",IFERROR(CHOOSE(MAX(INDEX('判定表'!$D:$D,MATCH("E|利用範囲|"&amp;G25,'判定表'!$A:$A,0)),INDEX('判定表'!$D:$D,MATCH("E|データの利用範囲|"&amp;H25,'判定表'!$A:$A,0)),INDEX('判定表'!$D:$D,MATCH("E|環境|"&amp;I25,'判定表'!$A:$A,0)))+1,"低","中","高"),"判定表にない回答")))</f>
        <v/>
      </c>
      <c r="K25" s="17" t="n"/>
      <c r="L25" s="17" t="n"/>
      <c r="M25" s="22">
        <f>IF(A25="","",IF(OR(K25="",L25="",D25="",E25="",D25="未確認",E25="未確認"),"判定保留",IFERROR(IF(OR(D25="はい",E25="はい"),INDEX('判定表'!$D:$D,MATCH("L|"&amp;INDEX('判定表'!$D:$D,MATCH("D|"&amp;K25&amp;"|"&amp;L25,'判定表'!$A:$A,0)),'判定表'!$A:$A,0)),INDEX('判定表'!$D:$D,MATCH("D|"&amp;K25&amp;"|"&amp;L25,'判定表'!$A:$A,0))),"判定表にない組み合わせ")))</f>
        <v/>
      </c>
      <c r="N25" s="22">
        <f>IF(A25="","",IF(J25="判定保留","判定保留",IFERROR(INDEX('判定表'!$D:$D,MATCH("S|"&amp;J25,'判定表'!$A:$A,0)),"判定表にない回答")))</f>
        <v/>
      </c>
      <c r="O25" s="22">
        <f>IF(A25="","",IF(N25="留保","—",IF(OR(N25="判定保留",M25="判定保留"),"判定保留",IFERROR(INDEX('判定表'!$D:$D,MATCH("T|"&amp;J25&amp;"|"&amp;M25,'判定表'!$A:$A,0)),"判定表にない組み合わせ"))))</f>
        <v/>
      </c>
    </row>
    <row r="26">
      <c r="A26" s="17" t="n"/>
      <c r="B26" s="17" t="n"/>
      <c r="C26" s="17" t="n"/>
      <c r="D26" s="17" t="n"/>
      <c r="E26" s="17" t="n"/>
      <c r="F26" s="29" t="n"/>
      <c r="G26" s="17" t="n"/>
      <c r="H26" s="17" t="n"/>
      <c r="I26" s="17" t="n"/>
      <c r="J26" s="22">
        <f>IF(A26="","",IF(COUNTA(G26:I26)&lt;3,"判定保留",IFERROR(CHOOSE(MAX(INDEX('判定表'!$D:$D,MATCH("E|利用範囲|"&amp;G26,'判定表'!$A:$A,0)),INDEX('判定表'!$D:$D,MATCH("E|データの利用範囲|"&amp;H26,'判定表'!$A:$A,0)),INDEX('判定表'!$D:$D,MATCH("E|環境|"&amp;I26,'判定表'!$A:$A,0)))+1,"低","中","高"),"判定表にない回答")))</f>
        <v/>
      </c>
      <c r="K26" s="17" t="n"/>
      <c r="L26" s="17" t="n"/>
      <c r="M26" s="22">
        <f>IF(A26="","",IF(OR(K26="",L26="",D26="",E26="",D26="未確認",E26="未確認"),"判定保留",IFERROR(IF(OR(D26="はい",E26="はい"),INDEX('判定表'!$D:$D,MATCH("L|"&amp;INDEX('判定表'!$D:$D,MATCH("D|"&amp;K26&amp;"|"&amp;L26,'判定表'!$A:$A,0)),'判定表'!$A:$A,0)),INDEX('判定表'!$D:$D,MATCH("D|"&amp;K26&amp;"|"&amp;L26,'判定表'!$A:$A,0))),"判定表にない組み合わせ")))</f>
        <v/>
      </c>
      <c r="N26" s="22">
        <f>IF(A26="","",IF(J26="判定保留","判定保留",IFERROR(INDEX('判定表'!$D:$D,MATCH("S|"&amp;J26,'判定表'!$A:$A,0)),"判定表にない回答")))</f>
        <v/>
      </c>
      <c r="O26" s="22">
        <f>IF(A26="","",IF(N26="留保","—",IF(OR(N26="判定保留",M26="判定保留"),"判定保留",IFERROR(INDEX('判定表'!$D:$D,MATCH("T|"&amp;J26&amp;"|"&amp;M26,'判定表'!$A:$A,0)),"判定表にない組み合わせ"))))</f>
        <v/>
      </c>
    </row>
    <row r="27">
      <c r="A27" s="17" t="n"/>
      <c r="B27" s="17" t="n"/>
      <c r="C27" s="17" t="n"/>
      <c r="D27" s="17" t="n"/>
      <c r="E27" s="17" t="n"/>
      <c r="F27" s="29" t="n"/>
      <c r="G27" s="17" t="n"/>
      <c r="H27" s="17" t="n"/>
      <c r="I27" s="17" t="n"/>
      <c r="J27" s="22">
        <f>IF(A27="","",IF(COUNTA(G27:I27)&lt;3,"判定保留",IFERROR(CHOOSE(MAX(INDEX('判定表'!$D:$D,MATCH("E|利用範囲|"&amp;G27,'判定表'!$A:$A,0)),INDEX('判定表'!$D:$D,MATCH("E|データの利用範囲|"&amp;H27,'判定表'!$A:$A,0)),INDEX('判定表'!$D:$D,MATCH("E|環境|"&amp;I27,'判定表'!$A:$A,0)))+1,"低","中","高"),"判定表にない回答")))</f>
        <v/>
      </c>
      <c r="K27" s="17" t="n"/>
      <c r="L27" s="17" t="n"/>
      <c r="M27" s="22">
        <f>IF(A27="","",IF(OR(K27="",L27="",D27="",E27="",D27="未確認",E27="未確認"),"判定保留",IFERROR(IF(OR(D27="はい",E27="はい"),INDEX('判定表'!$D:$D,MATCH("L|"&amp;INDEX('判定表'!$D:$D,MATCH("D|"&amp;K27&amp;"|"&amp;L27,'判定表'!$A:$A,0)),'判定表'!$A:$A,0)),INDEX('判定表'!$D:$D,MATCH("D|"&amp;K27&amp;"|"&amp;L27,'判定表'!$A:$A,0))),"判定表にない組み合わせ")))</f>
        <v/>
      </c>
      <c r="N27" s="22">
        <f>IF(A27="","",IF(J27="判定保留","判定保留",IFERROR(INDEX('判定表'!$D:$D,MATCH("S|"&amp;J27,'判定表'!$A:$A,0)),"判定表にない回答")))</f>
        <v/>
      </c>
      <c r="O27" s="22">
        <f>IF(A27="","",IF(N27="留保","—",IF(OR(N27="判定保留",M27="判定保留"),"判定保留",IFERROR(INDEX('判定表'!$D:$D,MATCH("T|"&amp;J27&amp;"|"&amp;M27,'判定表'!$A:$A,0)),"判定表にない組み合わせ"))))</f>
        <v/>
      </c>
    </row>
    <row r="28">
      <c r="A28" s="17" t="n"/>
      <c r="B28" s="17" t="n"/>
      <c r="C28" s="17" t="n"/>
      <c r="D28" s="17" t="n"/>
      <c r="E28" s="17" t="n"/>
      <c r="F28" s="29" t="n"/>
      <c r="G28" s="17" t="n"/>
      <c r="H28" s="17" t="n"/>
      <c r="I28" s="17" t="n"/>
      <c r="J28" s="22">
        <f>IF(A28="","",IF(COUNTA(G28:I28)&lt;3,"判定保留",IFERROR(CHOOSE(MAX(INDEX('判定表'!$D:$D,MATCH("E|利用範囲|"&amp;G28,'判定表'!$A:$A,0)),INDEX('判定表'!$D:$D,MATCH("E|データの利用範囲|"&amp;H28,'判定表'!$A:$A,0)),INDEX('判定表'!$D:$D,MATCH("E|環境|"&amp;I28,'判定表'!$A:$A,0)))+1,"低","中","高"),"判定表にない回答")))</f>
        <v/>
      </c>
      <c r="K28" s="17" t="n"/>
      <c r="L28" s="17" t="n"/>
      <c r="M28" s="22">
        <f>IF(A28="","",IF(OR(K28="",L28="",D28="",E28="",D28="未確認",E28="未確認"),"判定保留",IFERROR(IF(OR(D28="はい",E28="はい"),INDEX('判定表'!$D:$D,MATCH("L|"&amp;INDEX('判定表'!$D:$D,MATCH("D|"&amp;K28&amp;"|"&amp;L28,'判定表'!$A:$A,0)),'判定表'!$A:$A,0)),INDEX('判定表'!$D:$D,MATCH("D|"&amp;K28&amp;"|"&amp;L28,'判定表'!$A:$A,0))),"判定表にない組み合わせ")))</f>
        <v/>
      </c>
      <c r="N28" s="22">
        <f>IF(A28="","",IF(J28="判定保留","判定保留",IFERROR(INDEX('判定表'!$D:$D,MATCH("S|"&amp;J28,'判定表'!$A:$A,0)),"判定表にない回答")))</f>
        <v/>
      </c>
      <c r="O28" s="22">
        <f>IF(A28="","",IF(N28="留保","—",IF(OR(N28="判定保留",M28="判定保留"),"判定保留",IFERROR(INDEX('判定表'!$D:$D,MATCH("T|"&amp;J28&amp;"|"&amp;M28,'判定表'!$A:$A,0)),"判定表にない組み合わせ"))))</f>
        <v/>
      </c>
    </row>
    <row r="29">
      <c r="A29" s="17" t="n"/>
      <c r="B29" s="17" t="n"/>
      <c r="C29" s="17" t="n"/>
      <c r="D29" s="17" t="n"/>
      <c r="E29" s="17" t="n"/>
      <c r="F29" s="29" t="n"/>
      <c r="G29" s="17" t="n"/>
      <c r="H29" s="17" t="n"/>
      <c r="I29" s="17" t="n"/>
      <c r="J29" s="22">
        <f>IF(A29="","",IF(COUNTA(G29:I29)&lt;3,"判定保留",IFERROR(CHOOSE(MAX(INDEX('判定表'!$D:$D,MATCH("E|利用範囲|"&amp;G29,'判定表'!$A:$A,0)),INDEX('判定表'!$D:$D,MATCH("E|データの利用範囲|"&amp;H29,'判定表'!$A:$A,0)),INDEX('判定表'!$D:$D,MATCH("E|環境|"&amp;I29,'判定表'!$A:$A,0)))+1,"低","中","高"),"判定表にない回答")))</f>
        <v/>
      </c>
      <c r="K29" s="17" t="n"/>
      <c r="L29" s="17" t="n"/>
      <c r="M29" s="22">
        <f>IF(A29="","",IF(OR(K29="",L29="",D29="",E29="",D29="未確認",E29="未確認"),"判定保留",IFERROR(IF(OR(D29="はい",E29="はい"),INDEX('判定表'!$D:$D,MATCH("L|"&amp;INDEX('判定表'!$D:$D,MATCH("D|"&amp;K29&amp;"|"&amp;L29,'判定表'!$A:$A,0)),'判定表'!$A:$A,0)),INDEX('判定表'!$D:$D,MATCH("D|"&amp;K29&amp;"|"&amp;L29,'判定表'!$A:$A,0))),"判定表にない組み合わせ")))</f>
        <v/>
      </c>
      <c r="N29" s="22">
        <f>IF(A29="","",IF(J29="判定保留","判定保留",IFERROR(INDEX('判定表'!$D:$D,MATCH("S|"&amp;J29,'判定表'!$A:$A,0)),"判定表にない回答")))</f>
        <v/>
      </c>
      <c r="O29" s="22">
        <f>IF(A29="","",IF(N29="留保","—",IF(OR(N29="判定保留",M29="判定保留"),"判定保留",IFERROR(INDEX('判定表'!$D:$D,MATCH("T|"&amp;J29&amp;"|"&amp;M29,'判定表'!$A:$A,0)),"判定表にない組み合わせ"))))</f>
        <v/>
      </c>
    </row>
    <row r="30">
      <c r="A30" s="17" t="n"/>
      <c r="B30" s="17" t="n"/>
      <c r="C30" s="17" t="n"/>
      <c r="D30" s="17" t="n"/>
      <c r="E30" s="17" t="n"/>
      <c r="F30" s="29" t="n"/>
      <c r="G30" s="17" t="n"/>
      <c r="H30" s="17" t="n"/>
      <c r="I30" s="17" t="n"/>
      <c r="J30" s="22">
        <f>IF(A30="","",IF(COUNTA(G30:I30)&lt;3,"判定保留",IFERROR(CHOOSE(MAX(INDEX('判定表'!$D:$D,MATCH("E|利用範囲|"&amp;G30,'判定表'!$A:$A,0)),INDEX('判定表'!$D:$D,MATCH("E|データの利用範囲|"&amp;H30,'判定表'!$A:$A,0)),INDEX('判定表'!$D:$D,MATCH("E|環境|"&amp;I30,'判定表'!$A:$A,0)))+1,"低","中","高"),"判定表にない回答")))</f>
        <v/>
      </c>
      <c r="K30" s="17" t="n"/>
      <c r="L30" s="17" t="n"/>
      <c r="M30" s="22">
        <f>IF(A30="","",IF(OR(K30="",L30="",D30="",E30="",D30="未確認",E30="未確認"),"判定保留",IFERROR(IF(OR(D30="はい",E30="はい"),INDEX('判定表'!$D:$D,MATCH("L|"&amp;INDEX('判定表'!$D:$D,MATCH("D|"&amp;K30&amp;"|"&amp;L30,'判定表'!$A:$A,0)),'判定表'!$A:$A,0)),INDEX('判定表'!$D:$D,MATCH("D|"&amp;K30&amp;"|"&amp;L30,'判定表'!$A:$A,0))),"判定表にない組み合わせ")))</f>
        <v/>
      </c>
      <c r="N30" s="22">
        <f>IF(A30="","",IF(J30="判定保留","判定保留",IFERROR(INDEX('判定表'!$D:$D,MATCH("S|"&amp;J30,'判定表'!$A:$A,0)),"判定表にない回答")))</f>
        <v/>
      </c>
      <c r="O30" s="22">
        <f>IF(A30="","",IF(N30="留保","—",IF(OR(N30="判定保留",M30="判定保留"),"判定保留",IFERROR(INDEX('判定表'!$D:$D,MATCH("T|"&amp;J30&amp;"|"&amp;M30,'判定表'!$A:$A,0)),"判定表にない組み合わせ"))))</f>
        <v/>
      </c>
    </row>
    <row r="31">
      <c r="A31" s="17" t="n"/>
      <c r="B31" s="17" t="n"/>
      <c r="C31" s="17" t="n"/>
      <c r="D31" s="17" t="n"/>
      <c r="E31" s="17" t="n"/>
      <c r="F31" s="29" t="n"/>
      <c r="G31" s="17" t="n"/>
      <c r="H31" s="17" t="n"/>
      <c r="I31" s="17" t="n"/>
      <c r="J31" s="22">
        <f>IF(A31="","",IF(COUNTA(G31:I31)&lt;3,"判定保留",IFERROR(CHOOSE(MAX(INDEX('判定表'!$D:$D,MATCH("E|利用範囲|"&amp;G31,'判定表'!$A:$A,0)),INDEX('判定表'!$D:$D,MATCH("E|データの利用範囲|"&amp;H31,'判定表'!$A:$A,0)),INDEX('判定表'!$D:$D,MATCH("E|環境|"&amp;I31,'判定表'!$A:$A,0)))+1,"低","中","高"),"判定表にない回答")))</f>
        <v/>
      </c>
      <c r="K31" s="17" t="n"/>
      <c r="L31" s="17" t="n"/>
      <c r="M31" s="22">
        <f>IF(A31="","",IF(OR(K31="",L31="",D31="",E31="",D31="未確認",E31="未確認"),"判定保留",IFERROR(IF(OR(D31="はい",E31="はい"),INDEX('判定表'!$D:$D,MATCH("L|"&amp;INDEX('判定表'!$D:$D,MATCH("D|"&amp;K31&amp;"|"&amp;L31,'判定表'!$A:$A,0)),'判定表'!$A:$A,0)),INDEX('判定表'!$D:$D,MATCH("D|"&amp;K31&amp;"|"&amp;L31,'判定表'!$A:$A,0))),"判定表にない組み合わせ")))</f>
        <v/>
      </c>
      <c r="N31" s="22">
        <f>IF(A31="","",IF(J31="判定保留","判定保留",IFERROR(INDEX('判定表'!$D:$D,MATCH("S|"&amp;J31,'判定表'!$A:$A,0)),"判定表にない回答")))</f>
        <v/>
      </c>
      <c r="O31" s="22">
        <f>IF(A31="","",IF(N31="留保","—",IF(OR(N31="判定保留",M31="判定保留"),"判定保留",IFERROR(INDEX('判定表'!$D:$D,MATCH("T|"&amp;J31&amp;"|"&amp;M31,'判定表'!$A:$A,0)),"判定表にない組み合わせ"))))</f>
        <v/>
      </c>
    </row>
    <row r="32">
      <c r="A32" s="17" t="n"/>
      <c r="B32" s="17" t="n"/>
      <c r="C32" s="17" t="n"/>
      <c r="D32" s="17" t="n"/>
      <c r="E32" s="17" t="n"/>
      <c r="F32" s="29" t="n"/>
      <c r="G32" s="17" t="n"/>
      <c r="H32" s="17" t="n"/>
      <c r="I32" s="17" t="n"/>
      <c r="J32" s="22">
        <f>IF(A32="","",IF(COUNTA(G32:I32)&lt;3,"判定保留",IFERROR(CHOOSE(MAX(INDEX('判定表'!$D:$D,MATCH("E|利用範囲|"&amp;G32,'判定表'!$A:$A,0)),INDEX('判定表'!$D:$D,MATCH("E|データの利用範囲|"&amp;H32,'判定表'!$A:$A,0)),INDEX('判定表'!$D:$D,MATCH("E|環境|"&amp;I32,'判定表'!$A:$A,0)))+1,"低","中","高"),"判定表にない回答")))</f>
        <v/>
      </c>
      <c r="K32" s="17" t="n"/>
      <c r="L32" s="17" t="n"/>
      <c r="M32" s="22">
        <f>IF(A32="","",IF(OR(K32="",L32="",D32="",E32="",D32="未確認",E32="未確認"),"判定保留",IFERROR(IF(OR(D32="はい",E32="はい"),INDEX('判定表'!$D:$D,MATCH("L|"&amp;INDEX('判定表'!$D:$D,MATCH("D|"&amp;K32&amp;"|"&amp;L32,'判定表'!$A:$A,0)),'判定表'!$A:$A,0)),INDEX('判定表'!$D:$D,MATCH("D|"&amp;K32&amp;"|"&amp;L32,'判定表'!$A:$A,0))),"判定表にない組み合わせ")))</f>
        <v/>
      </c>
      <c r="N32" s="22">
        <f>IF(A32="","",IF(J32="判定保留","判定保留",IFERROR(INDEX('判定表'!$D:$D,MATCH("S|"&amp;J32,'判定表'!$A:$A,0)),"判定表にない回答")))</f>
        <v/>
      </c>
      <c r="O32" s="22">
        <f>IF(A32="","",IF(N32="留保","—",IF(OR(N32="判定保留",M32="判定保留"),"判定保留",IFERROR(INDEX('判定表'!$D:$D,MATCH("T|"&amp;J32&amp;"|"&amp;M32,'判定表'!$A:$A,0)),"判定表にない組み合わせ"))))</f>
        <v/>
      </c>
    </row>
    <row r="33">
      <c r="A33" s="17" t="n"/>
      <c r="B33" s="17" t="n"/>
      <c r="C33" s="17" t="n"/>
      <c r="D33" s="17" t="n"/>
      <c r="E33" s="17" t="n"/>
      <c r="F33" s="29" t="n"/>
      <c r="G33" s="17" t="n"/>
      <c r="H33" s="17" t="n"/>
      <c r="I33" s="17" t="n"/>
      <c r="J33" s="22">
        <f>IF(A33="","",IF(COUNTA(G33:I33)&lt;3,"判定保留",IFERROR(CHOOSE(MAX(INDEX('判定表'!$D:$D,MATCH("E|利用範囲|"&amp;G33,'判定表'!$A:$A,0)),INDEX('判定表'!$D:$D,MATCH("E|データの利用範囲|"&amp;H33,'判定表'!$A:$A,0)),INDEX('判定表'!$D:$D,MATCH("E|環境|"&amp;I33,'判定表'!$A:$A,0)))+1,"低","中","高"),"判定表にない回答")))</f>
        <v/>
      </c>
      <c r="K33" s="17" t="n"/>
      <c r="L33" s="17" t="n"/>
      <c r="M33" s="22">
        <f>IF(A33="","",IF(OR(K33="",L33="",D33="",E33="",D33="未確認",E33="未確認"),"判定保留",IFERROR(IF(OR(D33="はい",E33="はい"),INDEX('判定表'!$D:$D,MATCH("L|"&amp;INDEX('判定表'!$D:$D,MATCH("D|"&amp;K33&amp;"|"&amp;L33,'判定表'!$A:$A,0)),'判定表'!$A:$A,0)),INDEX('判定表'!$D:$D,MATCH("D|"&amp;K33&amp;"|"&amp;L33,'判定表'!$A:$A,0))),"判定表にない組み合わせ")))</f>
        <v/>
      </c>
      <c r="N33" s="22">
        <f>IF(A33="","",IF(J33="判定保留","判定保留",IFERROR(INDEX('判定表'!$D:$D,MATCH("S|"&amp;J33,'判定表'!$A:$A,0)),"判定表にない回答")))</f>
        <v/>
      </c>
      <c r="O33" s="22">
        <f>IF(A33="","",IF(N33="留保","—",IF(OR(N33="判定保留",M33="判定保留"),"判定保留",IFERROR(INDEX('判定表'!$D:$D,MATCH("T|"&amp;J33&amp;"|"&amp;M33,'判定表'!$A:$A,0)),"判定表にない組み合わせ"))))</f>
        <v/>
      </c>
    </row>
    <row r="34">
      <c r="A34" s="17" t="n"/>
      <c r="B34" s="17" t="n"/>
      <c r="C34" s="17" t="n"/>
      <c r="D34" s="17" t="n"/>
      <c r="E34" s="17" t="n"/>
      <c r="F34" s="29" t="n"/>
      <c r="G34" s="17" t="n"/>
      <c r="H34" s="17" t="n"/>
      <c r="I34" s="17" t="n"/>
      <c r="J34" s="22">
        <f>IF(A34="","",IF(COUNTA(G34:I34)&lt;3,"判定保留",IFERROR(CHOOSE(MAX(INDEX('判定表'!$D:$D,MATCH("E|利用範囲|"&amp;G34,'判定表'!$A:$A,0)),INDEX('判定表'!$D:$D,MATCH("E|データの利用範囲|"&amp;H34,'判定表'!$A:$A,0)),INDEX('判定表'!$D:$D,MATCH("E|環境|"&amp;I34,'判定表'!$A:$A,0)))+1,"低","中","高"),"判定表にない回答")))</f>
        <v/>
      </c>
      <c r="K34" s="17" t="n"/>
      <c r="L34" s="17" t="n"/>
      <c r="M34" s="22">
        <f>IF(A34="","",IF(OR(K34="",L34="",D34="",E34="",D34="未確認",E34="未確認"),"判定保留",IFERROR(IF(OR(D34="はい",E34="はい"),INDEX('判定表'!$D:$D,MATCH("L|"&amp;INDEX('判定表'!$D:$D,MATCH("D|"&amp;K34&amp;"|"&amp;L34,'判定表'!$A:$A,0)),'判定表'!$A:$A,0)),INDEX('判定表'!$D:$D,MATCH("D|"&amp;K34&amp;"|"&amp;L34,'判定表'!$A:$A,0))),"判定表にない組み合わせ")))</f>
        <v/>
      </c>
      <c r="N34" s="22">
        <f>IF(A34="","",IF(J34="判定保留","判定保留",IFERROR(INDEX('判定表'!$D:$D,MATCH("S|"&amp;J34,'判定表'!$A:$A,0)),"判定表にない回答")))</f>
        <v/>
      </c>
      <c r="O34" s="22">
        <f>IF(A34="","",IF(N34="留保","—",IF(OR(N34="判定保留",M34="判定保留"),"判定保留",IFERROR(INDEX('判定表'!$D:$D,MATCH("T|"&amp;J34&amp;"|"&amp;M34,'判定表'!$A:$A,0)),"判定表にない組み合わせ"))))</f>
        <v/>
      </c>
    </row>
    <row r="35">
      <c r="A35" s="17" t="n"/>
      <c r="B35" s="17" t="n"/>
      <c r="C35" s="17" t="n"/>
      <c r="D35" s="17" t="n"/>
      <c r="E35" s="17" t="n"/>
      <c r="F35" s="29" t="n"/>
      <c r="G35" s="17" t="n"/>
      <c r="H35" s="17" t="n"/>
      <c r="I35" s="17" t="n"/>
      <c r="J35" s="22">
        <f>IF(A35="","",IF(COUNTA(G35:I35)&lt;3,"判定保留",IFERROR(CHOOSE(MAX(INDEX('判定表'!$D:$D,MATCH("E|利用範囲|"&amp;G35,'判定表'!$A:$A,0)),INDEX('判定表'!$D:$D,MATCH("E|データの利用範囲|"&amp;H35,'判定表'!$A:$A,0)),INDEX('判定表'!$D:$D,MATCH("E|環境|"&amp;I35,'判定表'!$A:$A,0)))+1,"低","中","高"),"判定表にない回答")))</f>
        <v/>
      </c>
      <c r="K35" s="17" t="n"/>
      <c r="L35" s="17" t="n"/>
      <c r="M35" s="22">
        <f>IF(A35="","",IF(OR(K35="",L35="",D35="",E35="",D35="未確認",E35="未確認"),"判定保留",IFERROR(IF(OR(D35="はい",E35="はい"),INDEX('判定表'!$D:$D,MATCH("L|"&amp;INDEX('判定表'!$D:$D,MATCH("D|"&amp;K35&amp;"|"&amp;L35,'判定表'!$A:$A,0)),'判定表'!$A:$A,0)),INDEX('判定表'!$D:$D,MATCH("D|"&amp;K35&amp;"|"&amp;L35,'判定表'!$A:$A,0))),"判定表にない組み合わせ")))</f>
        <v/>
      </c>
      <c r="N35" s="22">
        <f>IF(A35="","",IF(J35="判定保留","判定保留",IFERROR(INDEX('判定表'!$D:$D,MATCH("S|"&amp;J35,'判定表'!$A:$A,0)),"判定表にない回答")))</f>
        <v/>
      </c>
      <c r="O35" s="22">
        <f>IF(A35="","",IF(N35="留保","—",IF(OR(N35="判定保留",M35="判定保留"),"判定保留",IFERROR(INDEX('判定表'!$D:$D,MATCH("T|"&amp;J35&amp;"|"&amp;M35,'判定表'!$A:$A,0)),"判定表にない組み合わせ"))))</f>
        <v/>
      </c>
    </row>
    <row r="36">
      <c r="A36" s="17" t="n"/>
      <c r="B36" s="17" t="n"/>
      <c r="C36" s="17" t="n"/>
      <c r="D36" s="17" t="n"/>
      <c r="E36" s="17" t="n"/>
      <c r="F36" s="29" t="n"/>
      <c r="G36" s="17" t="n"/>
      <c r="H36" s="17" t="n"/>
      <c r="I36" s="17" t="n"/>
      <c r="J36" s="22">
        <f>IF(A36="","",IF(COUNTA(G36:I36)&lt;3,"判定保留",IFERROR(CHOOSE(MAX(INDEX('判定表'!$D:$D,MATCH("E|利用範囲|"&amp;G36,'判定表'!$A:$A,0)),INDEX('判定表'!$D:$D,MATCH("E|データの利用範囲|"&amp;H36,'判定表'!$A:$A,0)),INDEX('判定表'!$D:$D,MATCH("E|環境|"&amp;I36,'判定表'!$A:$A,0)))+1,"低","中","高"),"判定表にない回答")))</f>
        <v/>
      </c>
      <c r="K36" s="17" t="n"/>
      <c r="L36" s="17" t="n"/>
      <c r="M36" s="22">
        <f>IF(A36="","",IF(OR(K36="",L36="",D36="",E36="",D36="未確認",E36="未確認"),"判定保留",IFERROR(IF(OR(D36="はい",E36="はい"),INDEX('判定表'!$D:$D,MATCH("L|"&amp;INDEX('判定表'!$D:$D,MATCH("D|"&amp;K36&amp;"|"&amp;L36,'判定表'!$A:$A,0)),'判定表'!$A:$A,0)),INDEX('判定表'!$D:$D,MATCH("D|"&amp;K36&amp;"|"&amp;L36,'判定表'!$A:$A,0))),"判定表にない組み合わせ")))</f>
        <v/>
      </c>
      <c r="N36" s="22">
        <f>IF(A36="","",IF(J36="判定保留","判定保留",IFERROR(INDEX('判定表'!$D:$D,MATCH("S|"&amp;J36,'判定表'!$A:$A,0)),"判定表にない回答")))</f>
        <v/>
      </c>
      <c r="O36" s="22">
        <f>IF(A36="","",IF(N36="留保","—",IF(OR(N36="判定保留",M36="判定保留"),"判定保留",IFERROR(INDEX('判定表'!$D:$D,MATCH("T|"&amp;J36&amp;"|"&amp;M36,'判定表'!$A:$A,0)),"判定表にない組み合わせ"))))</f>
        <v/>
      </c>
    </row>
    <row r="37">
      <c r="A37" s="17" t="n"/>
      <c r="B37" s="17" t="n"/>
      <c r="C37" s="17" t="n"/>
      <c r="D37" s="17" t="n"/>
      <c r="E37" s="17" t="n"/>
      <c r="F37" s="29" t="n"/>
      <c r="G37" s="17" t="n"/>
      <c r="H37" s="17" t="n"/>
      <c r="I37" s="17" t="n"/>
      <c r="J37" s="22">
        <f>IF(A37="","",IF(COUNTA(G37:I37)&lt;3,"判定保留",IFERROR(CHOOSE(MAX(INDEX('判定表'!$D:$D,MATCH("E|利用範囲|"&amp;G37,'判定表'!$A:$A,0)),INDEX('判定表'!$D:$D,MATCH("E|データの利用範囲|"&amp;H37,'判定表'!$A:$A,0)),INDEX('判定表'!$D:$D,MATCH("E|環境|"&amp;I37,'判定表'!$A:$A,0)))+1,"低","中","高"),"判定表にない回答")))</f>
        <v/>
      </c>
      <c r="K37" s="17" t="n"/>
      <c r="L37" s="17" t="n"/>
      <c r="M37" s="22">
        <f>IF(A37="","",IF(OR(K37="",L37="",D37="",E37="",D37="未確認",E37="未確認"),"判定保留",IFERROR(IF(OR(D37="はい",E37="はい"),INDEX('判定表'!$D:$D,MATCH("L|"&amp;INDEX('判定表'!$D:$D,MATCH("D|"&amp;K37&amp;"|"&amp;L37,'判定表'!$A:$A,0)),'判定表'!$A:$A,0)),INDEX('判定表'!$D:$D,MATCH("D|"&amp;K37&amp;"|"&amp;L37,'判定表'!$A:$A,0))),"判定表にない組み合わせ")))</f>
        <v/>
      </c>
      <c r="N37" s="22">
        <f>IF(A37="","",IF(J37="判定保留","判定保留",IFERROR(INDEX('判定表'!$D:$D,MATCH("S|"&amp;J37,'判定表'!$A:$A,0)),"判定表にない回答")))</f>
        <v/>
      </c>
      <c r="O37" s="22">
        <f>IF(A37="","",IF(N37="留保","—",IF(OR(N37="判定保留",M37="判定保留"),"判定保留",IFERROR(INDEX('判定表'!$D:$D,MATCH("T|"&amp;J37&amp;"|"&amp;M37,'判定表'!$A:$A,0)),"判定表にない組み合わせ"))))</f>
        <v/>
      </c>
    </row>
    <row r="38">
      <c r="A38" s="17" t="n"/>
      <c r="B38" s="17" t="n"/>
      <c r="C38" s="17" t="n"/>
      <c r="D38" s="17" t="n"/>
      <c r="E38" s="17" t="n"/>
      <c r="F38" s="29" t="n"/>
      <c r="G38" s="17" t="n"/>
      <c r="H38" s="17" t="n"/>
      <c r="I38" s="17" t="n"/>
      <c r="J38" s="22">
        <f>IF(A38="","",IF(COUNTA(G38:I38)&lt;3,"判定保留",IFERROR(CHOOSE(MAX(INDEX('判定表'!$D:$D,MATCH("E|利用範囲|"&amp;G38,'判定表'!$A:$A,0)),INDEX('判定表'!$D:$D,MATCH("E|データの利用範囲|"&amp;H38,'判定表'!$A:$A,0)),INDEX('判定表'!$D:$D,MATCH("E|環境|"&amp;I38,'判定表'!$A:$A,0)))+1,"低","中","高"),"判定表にない回答")))</f>
        <v/>
      </c>
      <c r="K38" s="17" t="n"/>
      <c r="L38" s="17" t="n"/>
      <c r="M38" s="22">
        <f>IF(A38="","",IF(OR(K38="",L38="",D38="",E38="",D38="未確認",E38="未確認"),"判定保留",IFERROR(IF(OR(D38="はい",E38="はい"),INDEX('判定表'!$D:$D,MATCH("L|"&amp;INDEX('判定表'!$D:$D,MATCH("D|"&amp;K38&amp;"|"&amp;L38,'判定表'!$A:$A,0)),'判定表'!$A:$A,0)),INDEX('判定表'!$D:$D,MATCH("D|"&amp;K38&amp;"|"&amp;L38,'判定表'!$A:$A,0))),"判定表にない組み合わせ")))</f>
        <v/>
      </c>
      <c r="N38" s="22">
        <f>IF(A38="","",IF(J38="判定保留","判定保留",IFERROR(INDEX('判定表'!$D:$D,MATCH("S|"&amp;J38,'判定表'!$A:$A,0)),"判定表にない回答")))</f>
        <v/>
      </c>
      <c r="O38" s="22">
        <f>IF(A38="","",IF(N38="留保","—",IF(OR(N38="判定保留",M38="判定保留"),"判定保留",IFERROR(INDEX('判定表'!$D:$D,MATCH("T|"&amp;J38&amp;"|"&amp;M38,'判定表'!$A:$A,0)),"判定表にない組み合わせ"))))</f>
        <v/>
      </c>
    </row>
    <row r="39">
      <c r="A39" s="17" t="n"/>
      <c r="B39" s="17" t="n"/>
      <c r="C39" s="17" t="n"/>
      <c r="D39" s="17" t="n"/>
      <c r="E39" s="17" t="n"/>
      <c r="F39" s="29" t="n"/>
      <c r="G39" s="17" t="n"/>
      <c r="H39" s="17" t="n"/>
      <c r="I39" s="17" t="n"/>
      <c r="J39" s="22">
        <f>IF(A39="","",IF(COUNTA(G39:I39)&lt;3,"判定保留",IFERROR(CHOOSE(MAX(INDEX('判定表'!$D:$D,MATCH("E|利用範囲|"&amp;G39,'判定表'!$A:$A,0)),INDEX('判定表'!$D:$D,MATCH("E|データの利用範囲|"&amp;H39,'判定表'!$A:$A,0)),INDEX('判定表'!$D:$D,MATCH("E|環境|"&amp;I39,'判定表'!$A:$A,0)))+1,"低","中","高"),"判定表にない回答")))</f>
        <v/>
      </c>
      <c r="K39" s="17" t="n"/>
      <c r="L39" s="17" t="n"/>
      <c r="M39" s="22">
        <f>IF(A39="","",IF(OR(K39="",L39="",D39="",E39="",D39="未確認",E39="未確認"),"判定保留",IFERROR(IF(OR(D39="はい",E39="はい"),INDEX('判定表'!$D:$D,MATCH("L|"&amp;INDEX('判定表'!$D:$D,MATCH("D|"&amp;K39&amp;"|"&amp;L39,'判定表'!$A:$A,0)),'判定表'!$A:$A,0)),INDEX('判定表'!$D:$D,MATCH("D|"&amp;K39&amp;"|"&amp;L39,'判定表'!$A:$A,0))),"判定表にない組み合わせ")))</f>
        <v/>
      </c>
      <c r="N39" s="22">
        <f>IF(A39="","",IF(J39="判定保留","判定保留",IFERROR(INDEX('判定表'!$D:$D,MATCH("S|"&amp;J39,'判定表'!$A:$A,0)),"判定表にない回答")))</f>
        <v/>
      </c>
      <c r="O39" s="22">
        <f>IF(A39="","",IF(N39="留保","—",IF(OR(N39="判定保留",M39="判定保留"),"判定保留",IFERROR(INDEX('判定表'!$D:$D,MATCH("T|"&amp;J39&amp;"|"&amp;M39,'判定表'!$A:$A,0)),"判定表にない組み合わせ"))))</f>
        <v/>
      </c>
    </row>
    <row r="40">
      <c r="A40" s="17" t="n"/>
      <c r="B40" s="17" t="n"/>
      <c r="C40" s="17" t="n"/>
      <c r="D40" s="17" t="n"/>
      <c r="E40" s="17" t="n"/>
      <c r="F40" s="29" t="n"/>
      <c r="G40" s="17" t="n"/>
      <c r="H40" s="17" t="n"/>
      <c r="I40" s="17" t="n"/>
      <c r="J40" s="22">
        <f>IF(A40="","",IF(COUNTA(G40:I40)&lt;3,"判定保留",IFERROR(CHOOSE(MAX(INDEX('判定表'!$D:$D,MATCH("E|利用範囲|"&amp;G40,'判定表'!$A:$A,0)),INDEX('判定表'!$D:$D,MATCH("E|データの利用範囲|"&amp;H40,'判定表'!$A:$A,0)),INDEX('判定表'!$D:$D,MATCH("E|環境|"&amp;I40,'判定表'!$A:$A,0)))+1,"低","中","高"),"判定表にない回答")))</f>
        <v/>
      </c>
      <c r="K40" s="17" t="n"/>
      <c r="L40" s="17" t="n"/>
      <c r="M40" s="22">
        <f>IF(A40="","",IF(OR(K40="",L40="",D40="",E40="",D40="未確認",E40="未確認"),"判定保留",IFERROR(IF(OR(D40="はい",E40="はい"),INDEX('判定表'!$D:$D,MATCH("L|"&amp;INDEX('判定表'!$D:$D,MATCH("D|"&amp;K40&amp;"|"&amp;L40,'判定表'!$A:$A,0)),'判定表'!$A:$A,0)),INDEX('判定表'!$D:$D,MATCH("D|"&amp;K40&amp;"|"&amp;L40,'判定表'!$A:$A,0))),"判定表にない組み合わせ")))</f>
        <v/>
      </c>
      <c r="N40" s="22">
        <f>IF(A40="","",IF(J40="判定保留","判定保留",IFERROR(INDEX('判定表'!$D:$D,MATCH("S|"&amp;J40,'判定表'!$A:$A,0)),"判定表にない回答")))</f>
        <v/>
      </c>
      <c r="O40" s="22">
        <f>IF(A40="","",IF(N40="留保","—",IF(OR(N40="判定保留",M40="判定保留"),"判定保留",IFERROR(INDEX('判定表'!$D:$D,MATCH("T|"&amp;J40&amp;"|"&amp;M40,'判定表'!$A:$A,0)),"判定表にない組み合わせ"))))</f>
        <v/>
      </c>
    </row>
    <row r="41">
      <c r="A41" s="17" t="n"/>
      <c r="B41" s="17" t="n"/>
      <c r="C41" s="17" t="n"/>
      <c r="D41" s="17" t="n"/>
      <c r="E41" s="17" t="n"/>
      <c r="F41" s="29" t="n"/>
      <c r="G41" s="17" t="n"/>
      <c r="H41" s="17" t="n"/>
      <c r="I41" s="17" t="n"/>
      <c r="J41" s="22">
        <f>IF(A41="","",IF(COUNTA(G41:I41)&lt;3,"判定保留",IFERROR(CHOOSE(MAX(INDEX('判定表'!$D:$D,MATCH("E|利用範囲|"&amp;G41,'判定表'!$A:$A,0)),INDEX('判定表'!$D:$D,MATCH("E|データの利用範囲|"&amp;H41,'判定表'!$A:$A,0)),INDEX('判定表'!$D:$D,MATCH("E|環境|"&amp;I41,'判定表'!$A:$A,0)))+1,"低","中","高"),"判定表にない回答")))</f>
        <v/>
      </c>
      <c r="K41" s="17" t="n"/>
      <c r="L41" s="17" t="n"/>
      <c r="M41" s="22">
        <f>IF(A41="","",IF(OR(K41="",L41="",D41="",E41="",D41="未確認",E41="未確認"),"判定保留",IFERROR(IF(OR(D41="はい",E41="はい"),INDEX('判定表'!$D:$D,MATCH("L|"&amp;INDEX('判定表'!$D:$D,MATCH("D|"&amp;K41&amp;"|"&amp;L41,'判定表'!$A:$A,0)),'判定表'!$A:$A,0)),INDEX('判定表'!$D:$D,MATCH("D|"&amp;K41&amp;"|"&amp;L41,'判定表'!$A:$A,0))),"判定表にない組み合わせ")))</f>
        <v/>
      </c>
      <c r="N41" s="22">
        <f>IF(A41="","",IF(J41="判定保留","判定保留",IFERROR(INDEX('判定表'!$D:$D,MATCH("S|"&amp;J41,'判定表'!$A:$A,0)),"判定表にない回答")))</f>
        <v/>
      </c>
      <c r="O41" s="22">
        <f>IF(A41="","",IF(N41="留保","—",IF(OR(N41="判定保留",M41="判定保留"),"判定保留",IFERROR(INDEX('判定表'!$D:$D,MATCH("T|"&amp;J41&amp;"|"&amp;M41,'判定表'!$A:$A,0)),"判定表にない組み合わせ"))))</f>
        <v/>
      </c>
    </row>
    <row r="42">
      <c r="A42" s="17" t="n"/>
      <c r="B42" s="17" t="n"/>
      <c r="C42" s="17" t="n"/>
      <c r="D42" s="17" t="n"/>
      <c r="E42" s="17" t="n"/>
      <c r="F42" s="29" t="n"/>
      <c r="G42" s="17" t="n"/>
      <c r="H42" s="17" t="n"/>
      <c r="I42" s="17" t="n"/>
      <c r="J42" s="22">
        <f>IF(A42="","",IF(COUNTA(G42:I42)&lt;3,"判定保留",IFERROR(CHOOSE(MAX(INDEX('判定表'!$D:$D,MATCH("E|利用範囲|"&amp;G42,'判定表'!$A:$A,0)),INDEX('判定表'!$D:$D,MATCH("E|データの利用範囲|"&amp;H42,'判定表'!$A:$A,0)),INDEX('判定表'!$D:$D,MATCH("E|環境|"&amp;I42,'判定表'!$A:$A,0)))+1,"低","中","高"),"判定表にない回答")))</f>
        <v/>
      </c>
      <c r="K42" s="17" t="n"/>
      <c r="L42" s="17" t="n"/>
      <c r="M42" s="22">
        <f>IF(A42="","",IF(OR(K42="",L42="",D42="",E42="",D42="未確認",E42="未確認"),"判定保留",IFERROR(IF(OR(D42="はい",E42="はい"),INDEX('判定表'!$D:$D,MATCH("L|"&amp;INDEX('判定表'!$D:$D,MATCH("D|"&amp;K42&amp;"|"&amp;L42,'判定表'!$A:$A,0)),'判定表'!$A:$A,0)),INDEX('判定表'!$D:$D,MATCH("D|"&amp;K42&amp;"|"&amp;L42,'判定表'!$A:$A,0))),"判定表にない組み合わせ")))</f>
        <v/>
      </c>
      <c r="N42" s="22">
        <f>IF(A42="","",IF(J42="判定保留","判定保留",IFERROR(INDEX('判定表'!$D:$D,MATCH("S|"&amp;J42,'判定表'!$A:$A,0)),"判定表にない回答")))</f>
        <v/>
      </c>
      <c r="O42" s="22">
        <f>IF(A42="","",IF(N42="留保","—",IF(OR(N42="判定保留",M42="判定保留"),"判定保留",IFERROR(INDEX('判定表'!$D:$D,MATCH("T|"&amp;J42&amp;"|"&amp;M42,'判定表'!$A:$A,0)),"判定表にない組み合わせ"))))</f>
        <v/>
      </c>
    </row>
    <row r="43">
      <c r="A43" s="17" t="n"/>
      <c r="B43" s="17" t="n"/>
      <c r="C43" s="17" t="n"/>
      <c r="D43" s="17" t="n"/>
      <c r="E43" s="17" t="n"/>
      <c r="F43" s="29" t="n"/>
      <c r="G43" s="17" t="n"/>
      <c r="H43" s="17" t="n"/>
      <c r="I43" s="17" t="n"/>
      <c r="J43" s="22">
        <f>IF(A43="","",IF(COUNTA(G43:I43)&lt;3,"判定保留",IFERROR(CHOOSE(MAX(INDEX('判定表'!$D:$D,MATCH("E|利用範囲|"&amp;G43,'判定表'!$A:$A,0)),INDEX('判定表'!$D:$D,MATCH("E|データの利用範囲|"&amp;H43,'判定表'!$A:$A,0)),INDEX('判定表'!$D:$D,MATCH("E|環境|"&amp;I43,'判定表'!$A:$A,0)))+1,"低","中","高"),"判定表にない回答")))</f>
        <v/>
      </c>
      <c r="K43" s="17" t="n"/>
      <c r="L43" s="17" t="n"/>
      <c r="M43" s="22">
        <f>IF(A43="","",IF(OR(K43="",L43="",D43="",E43="",D43="未確認",E43="未確認"),"判定保留",IFERROR(IF(OR(D43="はい",E43="はい"),INDEX('判定表'!$D:$D,MATCH("L|"&amp;INDEX('判定表'!$D:$D,MATCH("D|"&amp;K43&amp;"|"&amp;L43,'判定表'!$A:$A,0)),'判定表'!$A:$A,0)),INDEX('判定表'!$D:$D,MATCH("D|"&amp;K43&amp;"|"&amp;L43,'判定表'!$A:$A,0))),"判定表にない組み合わせ")))</f>
        <v/>
      </c>
      <c r="N43" s="22">
        <f>IF(A43="","",IF(J43="判定保留","判定保留",IFERROR(INDEX('判定表'!$D:$D,MATCH("S|"&amp;J43,'判定表'!$A:$A,0)),"判定表にない回答")))</f>
        <v/>
      </c>
      <c r="O43" s="22">
        <f>IF(A43="","",IF(N43="留保","—",IF(OR(N43="判定保留",M43="判定保留"),"判定保留",IFERROR(INDEX('判定表'!$D:$D,MATCH("T|"&amp;J43&amp;"|"&amp;M43,'判定表'!$A:$A,0)),"判定表にない組み合わせ"))))</f>
        <v/>
      </c>
    </row>
    <row r="44">
      <c r="A44" s="17" t="n"/>
      <c r="B44" s="17" t="n"/>
      <c r="C44" s="17" t="n"/>
      <c r="D44" s="17" t="n"/>
      <c r="E44" s="17" t="n"/>
      <c r="F44" s="29" t="n"/>
      <c r="G44" s="17" t="n"/>
      <c r="H44" s="17" t="n"/>
      <c r="I44" s="17" t="n"/>
      <c r="J44" s="22">
        <f>IF(A44="","",IF(COUNTA(G44:I44)&lt;3,"判定保留",IFERROR(CHOOSE(MAX(INDEX('判定表'!$D:$D,MATCH("E|利用範囲|"&amp;G44,'判定表'!$A:$A,0)),INDEX('判定表'!$D:$D,MATCH("E|データの利用範囲|"&amp;H44,'判定表'!$A:$A,0)),INDEX('判定表'!$D:$D,MATCH("E|環境|"&amp;I44,'判定表'!$A:$A,0)))+1,"低","中","高"),"判定表にない回答")))</f>
        <v/>
      </c>
      <c r="K44" s="17" t="n"/>
      <c r="L44" s="17" t="n"/>
      <c r="M44" s="22">
        <f>IF(A44="","",IF(OR(K44="",L44="",D44="",E44="",D44="未確認",E44="未確認"),"判定保留",IFERROR(IF(OR(D44="はい",E44="はい"),INDEX('判定表'!$D:$D,MATCH("L|"&amp;INDEX('判定表'!$D:$D,MATCH("D|"&amp;K44&amp;"|"&amp;L44,'判定表'!$A:$A,0)),'判定表'!$A:$A,0)),INDEX('判定表'!$D:$D,MATCH("D|"&amp;K44&amp;"|"&amp;L44,'判定表'!$A:$A,0))),"判定表にない組み合わせ")))</f>
        <v/>
      </c>
      <c r="N44" s="22">
        <f>IF(A44="","",IF(J44="判定保留","判定保留",IFERROR(INDEX('判定表'!$D:$D,MATCH("S|"&amp;J44,'判定表'!$A:$A,0)),"判定表にない回答")))</f>
        <v/>
      </c>
      <c r="O44" s="22">
        <f>IF(A44="","",IF(N44="留保","—",IF(OR(N44="判定保留",M44="判定保留"),"判定保留",IFERROR(INDEX('判定表'!$D:$D,MATCH("T|"&amp;J44&amp;"|"&amp;M44,'判定表'!$A:$A,0)),"判定表にない組み合わせ"))))</f>
        <v/>
      </c>
    </row>
    <row r="45">
      <c r="A45" s="17" t="n"/>
      <c r="B45" s="17" t="n"/>
      <c r="C45" s="17" t="n"/>
      <c r="D45" s="17" t="n"/>
      <c r="E45" s="17" t="n"/>
      <c r="F45" s="29" t="n"/>
      <c r="G45" s="17" t="n"/>
      <c r="H45" s="17" t="n"/>
      <c r="I45" s="17" t="n"/>
      <c r="J45" s="22">
        <f>IF(A45="","",IF(COUNTA(G45:I45)&lt;3,"判定保留",IFERROR(CHOOSE(MAX(INDEX('判定表'!$D:$D,MATCH("E|利用範囲|"&amp;G45,'判定表'!$A:$A,0)),INDEX('判定表'!$D:$D,MATCH("E|データの利用範囲|"&amp;H45,'判定表'!$A:$A,0)),INDEX('判定表'!$D:$D,MATCH("E|環境|"&amp;I45,'判定表'!$A:$A,0)))+1,"低","中","高"),"判定表にない回答")))</f>
        <v/>
      </c>
      <c r="K45" s="17" t="n"/>
      <c r="L45" s="17" t="n"/>
      <c r="M45" s="22">
        <f>IF(A45="","",IF(OR(K45="",L45="",D45="",E45="",D45="未確認",E45="未確認"),"判定保留",IFERROR(IF(OR(D45="はい",E45="はい"),INDEX('判定表'!$D:$D,MATCH("L|"&amp;INDEX('判定表'!$D:$D,MATCH("D|"&amp;K45&amp;"|"&amp;L45,'判定表'!$A:$A,0)),'判定表'!$A:$A,0)),INDEX('判定表'!$D:$D,MATCH("D|"&amp;K45&amp;"|"&amp;L45,'判定表'!$A:$A,0))),"判定表にない組み合わせ")))</f>
        <v/>
      </c>
      <c r="N45" s="22">
        <f>IF(A45="","",IF(J45="判定保留","判定保留",IFERROR(INDEX('判定表'!$D:$D,MATCH("S|"&amp;J45,'判定表'!$A:$A,0)),"判定表にない回答")))</f>
        <v/>
      </c>
      <c r="O45" s="22">
        <f>IF(A45="","",IF(N45="留保","—",IF(OR(N45="判定保留",M45="判定保留"),"判定保留",IFERROR(INDEX('判定表'!$D:$D,MATCH("T|"&amp;J45&amp;"|"&amp;M45,'判定表'!$A:$A,0)),"判定表にない組み合わせ"))))</f>
        <v/>
      </c>
    </row>
    <row r="46">
      <c r="A46" s="17" t="n"/>
      <c r="B46" s="17" t="n"/>
      <c r="C46" s="17" t="n"/>
      <c r="D46" s="17" t="n"/>
      <c r="E46" s="17" t="n"/>
      <c r="F46" s="29" t="n"/>
      <c r="G46" s="17" t="n"/>
      <c r="H46" s="17" t="n"/>
      <c r="I46" s="17" t="n"/>
      <c r="J46" s="22">
        <f>IF(A46="","",IF(COUNTA(G46:I46)&lt;3,"判定保留",IFERROR(CHOOSE(MAX(INDEX('判定表'!$D:$D,MATCH("E|利用範囲|"&amp;G46,'判定表'!$A:$A,0)),INDEX('判定表'!$D:$D,MATCH("E|データの利用範囲|"&amp;H46,'判定表'!$A:$A,0)),INDEX('判定表'!$D:$D,MATCH("E|環境|"&amp;I46,'判定表'!$A:$A,0)))+1,"低","中","高"),"判定表にない回答")))</f>
        <v/>
      </c>
      <c r="K46" s="17" t="n"/>
      <c r="L46" s="17" t="n"/>
      <c r="M46" s="22">
        <f>IF(A46="","",IF(OR(K46="",L46="",D46="",E46="",D46="未確認",E46="未確認"),"判定保留",IFERROR(IF(OR(D46="はい",E46="はい"),INDEX('判定表'!$D:$D,MATCH("L|"&amp;INDEX('判定表'!$D:$D,MATCH("D|"&amp;K46&amp;"|"&amp;L46,'判定表'!$A:$A,0)),'判定表'!$A:$A,0)),INDEX('判定表'!$D:$D,MATCH("D|"&amp;K46&amp;"|"&amp;L46,'判定表'!$A:$A,0))),"判定表にない組み合わせ")))</f>
        <v/>
      </c>
      <c r="N46" s="22">
        <f>IF(A46="","",IF(J46="判定保留","判定保留",IFERROR(INDEX('判定表'!$D:$D,MATCH("S|"&amp;J46,'判定表'!$A:$A,0)),"判定表にない回答")))</f>
        <v/>
      </c>
      <c r="O46" s="22">
        <f>IF(A46="","",IF(N46="留保","—",IF(OR(N46="判定保留",M46="判定保留"),"判定保留",IFERROR(INDEX('判定表'!$D:$D,MATCH("T|"&amp;J46&amp;"|"&amp;M46,'判定表'!$A:$A,0)),"判定表にない組み合わせ"))))</f>
        <v/>
      </c>
    </row>
    <row r="47">
      <c r="A47" s="17" t="n"/>
      <c r="B47" s="17" t="n"/>
      <c r="C47" s="17" t="n"/>
      <c r="D47" s="17" t="n"/>
      <c r="E47" s="17" t="n"/>
      <c r="F47" s="29" t="n"/>
      <c r="G47" s="17" t="n"/>
      <c r="H47" s="17" t="n"/>
      <c r="I47" s="17" t="n"/>
      <c r="J47" s="22">
        <f>IF(A47="","",IF(COUNTA(G47:I47)&lt;3,"判定保留",IFERROR(CHOOSE(MAX(INDEX('判定表'!$D:$D,MATCH("E|利用範囲|"&amp;G47,'判定表'!$A:$A,0)),INDEX('判定表'!$D:$D,MATCH("E|データの利用範囲|"&amp;H47,'判定表'!$A:$A,0)),INDEX('判定表'!$D:$D,MATCH("E|環境|"&amp;I47,'判定表'!$A:$A,0)))+1,"低","中","高"),"判定表にない回答")))</f>
        <v/>
      </c>
      <c r="K47" s="17" t="n"/>
      <c r="L47" s="17" t="n"/>
      <c r="M47" s="22">
        <f>IF(A47="","",IF(OR(K47="",L47="",D47="",E47="",D47="未確認",E47="未確認"),"判定保留",IFERROR(IF(OR(D47="はい",E47="はい"),INDEX('判定表'!$D:$D,MATCH("L|"&amp;INDEX('判定表'!$D:$D,MATCH("D|"&amp;K47&amp;"|"&amp;L47,'判定表'!$A:$A,0)),'判定表'!$A:$A,0)),INDEX('判定表'!$D:$D,MATCH("D|"&amp;K47&amp;"|"&amp;L47,'判定表'!$A:$A,0))),"判定表にない組み合わせ")))</f>
        <v/>
      </c>
      <c r="N47" s="22">
        <f>IF(A47="","",IF(J47="判定保留","判定保留",IFERROR(INDEX('判定表'!$D:$D,MATCH("S|"&amp;J47,'判定表'!$A:$A,0)),"判定表にない回答")))</f>
        <v/>
      </c>
      <c r="O47" s="22">
        <f>IF(A47="","",IF(N47="留保","—",IF(OR(N47="判定保留",M47="判定保留"),"判定保留",IFERROR(INDEX('判定表'!$D:$D,MATCH("T|"&amp;J47&amp;"|"&amp;M47,'判定表'!$A:$A,0)),"判定表にない組み合わせ"))))</f>
        <v/>
      </c>
    </row>
    <row r="48">
      <c r="A48" s="17" t="n"/>
      <c r="B48" s="17" t="n"/>
      <c r="C48" s="17" t="n"/>
      <c r="D48" s="17" t="n"/>
      <c r="E48" s="17" t="n"/>
      <c r="F48" s="29" t="n"/>
      <c r="G48" s="17" t="n"/>
      <c r="H48" s="17" t="n"/>
      <c r="I48" s="17" t="n"/>
      <c r="J48" s="22">
        <f>IF(A48="","",IF(COUNTA(G48:I48)&lt;3,"判定保留",IFERROR(CHOOSE(MAX(INDEX('判定表'!$D:$D,MATCH("E|利用範囲|"&amp;G48,'判定表'!$A:$A,0)),INDEX('判定表'!$D:$D,MATCH("E|データの利用範囲|"&amp;H48,'判定表'!$A:$A,0)),INDEX('判定表'!$D:$D,MATCH("E|環境|"&amp;I48,'判定表'!$A:$A,0)))+1,"低","中","高"),"判定表にない回答")))</f>
        <v/>
      </c>
      <c r="K48" s="17" t="n"/>
      <c r="L48" s="17" t="n"/>
      <c r="M48" s="22">
        <f>IF(A48="","",IF(OR(K48="",L48="",D48="",E48="",D48="未確認",E48="未確認"),"判定保留",IFERROR(IF(OR(D48="はい",E48="はい"),INDEX('判定表'!$D:$D,MATCH("L|"&amp;INDEX('判定表'!$D:$D,MATCH("D|"&amp;K48&amp;"|"&amp;L48,'判定表'!$A:$A,0)),'判定表'!$A:$A,0)),INDEX('判定表'!$D:$D,MATCH("D|"&amp;K48&amp;"|"&amp;L48,'判定表'!$A:$A,0))),"判定表にない組み合わせ")))</f>
        <v/>
      </c>
      <c r="N48" s="22">
        <f>IF(A48="","",IF(J48="判定保留","判定保留",IFERROR(INDEX('判定表'!$D:$D,MATCH("S|"&amp;J48,'判定表'!$A:$A,0)),"判定表にない回答")))</f>
        <v/>
      </c>
      <c r="O48" s="22">
        <f>IF(A48="","",IF(N48="留保","—",IF(OR(N48="判定保留",M48="判定保留"),"判定保留",IFERROR(INDEX('判定表'!$D:$D,MATCH("T|"&amp;J48&amp;"|"&amp;M48,'判定表'!$A:$A,0)),"判定表にない組み合わせ"))))</f>
        <v/>
      </c>
    </row>
    <row r="49">
      <c r="A49" s="17" t="n"/>
      <c r="B49" s="17" t="n"/>
      <c r="C49" s="17" t="n"/>
      <c r="D49" s="17" t="n"/>
      <c r="E49" s="17" t="n"/>
      <c r="F49" s="29" t="n"/>
      <c r="G49" s="17" t="n"/>
      <c r="H49" s="17" t="n"/>
      <c r="I49" s="17" t="n"/>
      <c r="J49" s="22">
        <f>IF(A49="","",IF(COUNTA(G49:I49)&lt;3,"判定保留",IFERROR(CHOOSE(MAX(INDEX('判定表'!$D:$D,MATCH("E|利用範囲|"&amp;G49,'判定表'!$A:$A,0)),INDEX('判定表'!$D:$D,MATCH("E|データの利用範囲|"&amp;H49,'判定表'!$A:$A,0)),INDEX('判定表'!$D:$D,MATCH("E|環境|"&amp;I49,'判定表'!$A:$A,0)))+1,"低","中","高"),"判定表にない回答")))</f>
        <v/>
      </c>
      <c r="K49" s="17" t="n"/>
      <c r="L49" s="17" t="n"/>
      <c r="M49" s="22">
        <f>IF(A49="","",IF(OR(K49="",L49="",D49="",E49="",D49="未確認",E49="未確認"),"判定保留",IFERROR(IF(OR(D49="はい",E49="はい"),INDEX('判定表'!$D:$D,MATCH("L|"&amp;INDEX('判定表'!$D:$D,MATCH("D|"&amp;K49&amp;"|"&amp;L49,'判定表'!$A:$A,0)),'判定表'!$A:$A,0)),INDEX('判定表'!$D:$D,MATCH("D|"&amp;K49&amp;"|"&amp;L49,'判定表'!$A:$A,0))),"判定表にない組み合わせ")))</f>
        <v/>
      </c>
      <c r="N49" s="22">
        <f>IF(A49="","",IF(J49="判定保留","判定保留",IFERROR(INDEX('判定表'!$D:$D,MATCH("S|"&amp;J49,'判定表'!$A:$A,0)),"判定表にない回答")))</f>
        <v/>
      </c>
      <c r="O49" s="22">
        <f>IF(A49="","",IF(N49="留保","—",IF(OR(N49="判定保留",M49="判定保留"),"判定保留",IFERROR(INDEX('判定表'!$D:$D,MATCH("T|"&amp;J49&amp;"|"&amp;M49,'判定表'!$A:$A,0)),"判定表にない組み合わせ"))))</f>
        <v/>
      </c>
    </row>
    <row r="50">
      <c r="A50" s="17" t="n"/>
      <c r="B50" s="17" t="n"/>
      <c r="C50" s="17" t="n"/>
      <c r="D50" s="17" t="n"/>
      <c r="E50" s="17" t="n"/>
      <c r="F50" s="29" t="n"/>
      <c r="G50" s="17" t="n"/>
      <c r="H50" s="17" t="n"/>
      <c r="I50" s="17" t="n"/>
      <c r="J50" s="22">
        <f>IF(A50="","",IF(COUNTA(G50:I50)&lt;3,"判定保留",IFERROR(CHOOSE(MAX(INDEX('判定表'!$D:$D,MATCH("E|利用範囲|"&amp;G50,'判定表'!$A:$A,0)),INDEX('判定表'!$D:$D,MATCH("E|データの利用範囲|"&amp;H50,'判定表'!$A:$A,0)),INDEX('判定表'!$D:$D,MATCH("E|環境|"&amp;I50,'判定表'!$A:$A,0)))+1,"低","中","高"),"判定表にない回答")))</f>
        <v/>
      </c>
      <c r="K50" s="17" t="n"/>
      <c r="L50" s="17" t="n"/>
      <c r="M50" s="22">
        <f>IF(A50="","",IF(OR(K50="",L50="",D50="",E50="",D50="未確認",E50="未確認"),"判定保留",IFERROR(IF(OR(D50="はい",E50="はい"),INDEX('判定表'!$D:$D,MATCH("L|"&amp;INDEX('判定表'!$D:$D,MATCH("D|"&amp;K50&amp;"|"&amp;L50,'判定表'!$A:$A,0)),'判定表'!$A:$A,0)),INDEX('判定表'!$D:$D,MATCH("D|"&amp;K50&amp;"|"&amp;L50,'判定表'!$A:$A,0))),"判定表にない組み合わせ")))</f>
        <v/>
      </c>
      <c r="N50" s="22">
        <f>IF(A50="","",IF(J50="判定保留","判定保留",IFERROR(INDEX('判定表'!$D:$D,MATCH("S|"&amp;J50,'判定表'!$A:$A,0)),"判定表にない回答")))</f>
        <v/>
      </c>
      <c r="O50" s="22">
        <f>IF(A50="","",IF(N50="留保","—",IF(OR(N50="判定保留",M50="判定保留"),"判定保留",IFERROR(INDEX('判定表'!$D:$D,MATCH("T|"&amp;J50&amp;"|"&amp;M50,'判定表'!$A:$A,0)),"判定表にない組み合わせ"))))</f>
        <v/>
      </c>
    </row>
    <row r="51">
      <c r="A51" s="17" t="n"/>
      <c r="B51" s="17" t="n"/>
      <c r="C51" s="17" t="n"/>
      <c r="D51" s="17" t="n"/>
      <c r="E51" s="17" t="n"/>
      <c r="F51" s="29" t="n"/>
      <c r="G51" s="17" t="n"/>
      <c r="H51" s="17" t="n"/>
      <c r="I51" s="17" t="n"/>
      <c r="J51" s="22">
        <f>IF(A51="","",IF(COUNTA(G51:I51)&lt;3,"判定保留",IFERROR(CHOOSE(MAX(INDEX('判定表'!$D:$D,MATCH("E|利用範囲|"&amp;G51,'判定表'!$A:$A,0)),INDEX('判定表'!$D:$D,MATCH("E|データの利用範囲|"&amp;H51,'判定表'!$A:$A,0)),INDEX('判定表'!$D:$D,MATCH("E|環境|"&amp;I51,'判定表'!$A:$A,0)))+1,"低","中","高"),"判定表にない回答")))</f>
        <v/>
      </c>
      <c r="K51" s="17" t="n"/>
      <c r="L51" s="17" t="n"/>
      <c r="M51" s="22">
        <f>IF(A51="","",IF(OR(K51="",L51="",D51="",E51="",D51="未確認",E51="未確認"),"判定保留",IFERROR(IF(OR(D51="はい",E51="はい"),INDEX('判定表'!$D:$D,MATCH("L|"&amp;INDEX('判定表'!$D:$D,MATCH("D|"&amp;K51&amp;"|"&amp;L51,'判定表'!$A:$A,0)),'判定表'!$A:$A,0)),INDEX('判定表'!$D:$D,MATCH("D|"&amp;K51&amp;"|"&amp;L51,'判定表'!$A:$A,0))),"判定表にない組み合わせ")))</f>
        <v/>
      </c>
      <c r="N51" s="22">
        <f>IF(A51="","",IF(J51="判定保留","判定保留",IFERROR(INDEX('判定表'!$D:$D,MATCH("S|"&amp;J51,'判定表'!$A:$A,0)),"判定表にない回答")))</f>
        <v/>
      </c>
      <c r="O51" s="22">
        <f>IF(A51="","",IF(N51="留保","—",IF(OR(N51="判定保留",M51="判定保留"),"判定保留",IFERROR(INDEX('判定表'!$D:$D,MATCH("T|"&amp;J51&amp;"|"&amp;M51,'判定表'!$A:$A,0)),"判定表にない組み合わせ"))))</f>
        <v/>
      </c>
    </row>
    <row r="52">
      <c r="A52" s="17" t="n"/>
      <c r="B52" s="17" t="n"/>
      <c r="C52" s="17" t="n"/>
      <c r="D52" s="17" t="n"/>
      <c r="E52" s="17" t="n"/>
      <c r="F52" s="29" t="n"/>
      <c r="G52" s="17" t="n"/>
      <c r="H52" s="17" t="n"/>
      <c r="I52" s="17" t="n"/>
      <c r="J52" s="22">
        <f>IF(A52="","",IF(COUNTA(G52:I52)&lt;3,"判定保留",IFERROR(CHOOSE(MAX(INDEX('判定表'!$D:$D,MATCH("E|利用範囲|"&amp;G52,'判定表'!$A:$A,0)),INDEX('判定表'!$D:$D,MATCH("E|データの利用範囲|"&amp;H52,'判定表'!$A:$A,0)),INDEX('判定表'!$D:$D,MATCH("E|環境|"&amp;I52,'判定表'!$A:$A,0)))+1,"低","中","高"),"判定表にない回答")))</f>
        <v/>
      </c>
      <c r="K52" s="17" t="n"/>
      <c r="L52" s="17" t="n"/>
      <c r="M52" s="22">
        <f>IF(A52="","",IF(OR(K52="",L52="",D52="",E52="",D52="未確認",E52="未確認"),"判定保留",IFERROR(IF(OR(D52="はい",E52="はい"),INDEX('判定表'!$D:$D,MATCH("L|"&amp;INDEX('判定表'!$D:$D,MATCH("D|"&amp;K52&amp;"|"&amp;L52,'判定表'!$A:$A,0)),'判定表'!$A:$A,0)),INDEX('判定表'!$D:$D,MATCH("D|"&amp;K52&amp;"|"&amp;L52,'判定表'!$A:$A,0))),"判定表にない組み合わせ")))</f>
        <v/>
      </c>
      <c r="N52" s="22">
        <f>IF(A52="","",IF(J52="判定保留","判定保留",IFERROR(INDEX('判定表'!$D:$D,MATCH("S|"&amp;J52,'判定表'!$A:$A,0)),"判定表にない回答")))</f>
        <v/>
      </c>
      <c r="O52" s="22">
        <f>IF(A52="","",IF(N52="留保","—",IF(OR(N52="判定保留",M52="判定保留"),"判定保留",IFERROR(INDEX('判定表'!$D:$D,MATCH("T|"&amp;J52&amp;"|"&amp;M52,'判定表'!$A:$A,0)),"判定表にない組み合わせ"))))</f>
        <v/>
      </c>
    </row>
    <row r="53">
      <c r="A53" s="17" t="n"/>
      <c r="B53" s="17" t="n"/>
      <c r="C53" s="17" t="n"/>
      <c r="D53" s="17" t="n"/>
      <c r="E53" s="17" t="n"/>
      <c r="F53" s="29" t="n"/>
      <c r="G53" s="17" t="n"/>
      <c r="H53" s="17" t="n"/>
      <c r="I53" s="17" t="n"/>
      <c r="J53" s="22">
        <f>IF(A53="","",IF(COUNTA(G53:I53)&lt;3,"判定保留",IFERROR(CHOOSE(MAX(INDEX('判定表'!$D:$D,MATCH("E|利用範囲|"&amp;G53,'判定表'!$A:$A,0)),INDEX('判定表'!$D:$D,MATCH("E|データの利用範囲|"&amp;H53,'判定表'!$A:$A,0)),INDEX('判定表'!$D:$D,MATCH("E|環境|"&amp;I53,'判定表'!$A:$A,0)))+1,"低","中","高"),"判定表にない回答")))</f>
        <v/>
      </c>
      <c r="K53" s="17" t="n"/>
      <c r="L53" s="17" t="n"/>
      <c r="M53" s="22">
        <f>IF(A53="","",IF(OR(K53="",L53="",D53="",E53="",D53="未確認",E53="未確認"),"判定保留",IFERROR(IF(OR(D53="はい",E53="はい"),INDEX('判定表'!$D:$D,MATCH("L|"&amp;INDEX('判定表'!$D:$D,MATCH("D|"&amp;K53&amp;"|"&amp;L53,'判定表'!$A:$A,0)),'判定表'!$A:$A,0)),INDEX('判定表'!$D:$D,MATCH("D|"&amp;K53&amp;"|"&amp;L53,'判定表'!$A:$A,0))),"判定表にない組み合わせ")))</f>
        <v/>
      </c>
      <c r="N53" s="22">
        <f>IF(A53="","",IF(J53="判定保留","判定保留",IFERROR(INDEX('判定表'!$D:$D,MATCH("S|"&amp;J53,'判定表'!$A:$A,0)),"判定表にない回答")))</f>
        <v/>
      </c>
      <c r="O53" s="22">
        <f>IF(A53="","",IF(N53="留保","—",IF(OR(N53="判定保留",M53="判定保留"),"判定保留",IFERROR(INDEX('判定表'!$D:$D,MATCH("T|"&amp;J53&amp;"|"&amp;M53,'判定表'!$A:$A,0)),"判定表にない組み合わせ"))))</f>
        <v/>
      </c>
    </row>
    <row r="54">
      <c r="A54" s="17" t="n"/>
      <c r="B54" s="17" t="n"/>
      <c r="C54" s="17" t="n"/>
      <c r="D54" s="17" t="n"/>
      <c r="E54" s="17" t="n"/>
      <c r="F54" s="29" t="n"/>
      <c r="G54" s="17" t="n"/>
      <c r="H54" s="17" t="n"/>
      <c r="I54" s="17" t="n"/>
      <c r="J54" s="22">
        <f>IF(A54="","",IF(COUNTA(G54:I54)&lt;3,"判定保留",IFERROR(CHOOSE(MAX(INDEX('判定表'!$D:$D,MATCH("E|利用範囲|"&amp;G54,'判定表'!$A:$A,0)),INDEX('判定表'!$D:$D,MATCH("E|データの利用範囲|"&amp;H54,'判定表'!$A:$A,0)),INDEX('判定表'!$D:$D,MATCH("E|環境|"&amp;I54,'判定表'!$A:$A,0)))+1,"低","中","高"),"判定表にない回答")))</f>
        <v/>
      </c>
      <c r="K54" s="17" t="n"/>
      <c r="L54" s="17" t="n"/>
      <c r="M54" s="22">
        <f>IF(A54="","",IF(OR(K54="",L54="",D54="",E54="",D54="未確認",E54="未確認"),"判定保留",IFERROR(IF(OR(D54="はい",E54="はい"),INDEX('判定表'!$D:$D,MATCH("L|"&amp;INDEX('判定表'!$D:$D,MATCH("D|"&amp;K54&amp;"|"&amp;L54,'判定表'!$A:$A,0)),'判定表'!$A:$A,0)),INDEX('判定表'!$D:$D,MATCH("D|"&amp;K54&amp;"|"&amp;L54,'判定表'!$A:$A,0))),"判定表にない組み合わせ")))</f>
        <v/>
      </c>
      <c r="N54" s="22">
        <f>IF(A54="","",IF(J54="判定保留","判定保留",IFERROR(INDEX('判定表'!$D:$D,MATCH("S|"&amp;J54,'判定表'!$A:$A,0)),"判定表にない回答")))</f>
        <v/>
      </c>
      <c r="O54" s="22">
        <f>IF(A54="","",IF(N54="留保","—",IF(OR(N54="判定保留",M54="判定保留"),"判定保留",IFERROR(INDEX('判定表'!$D:$D,MATCH("T|"&amp;J54&amp;"|"&amp;M54,'判定表'!$A:$A,0)),"判定表にない組み合わせ"))))</f>
        <v/>
      </c>
    </row>
    <row r="55">
      <c r="A55" s="17" t="n"/>
      <c r="B55" s="17" t="n"/>
      <c r="C55" s="17" t="n"/>
      <c r="D55" s="17" t="n"/>
      <c r="E55" s="17" t="n"/>
      <c r="F55" s="29" t="n"/>
      <c r="G55" s="17" t="n"/>
      <c r="H55" s="17" t="n"/>
      <c r="I55" s="17" t="n"/>
      <c r="J55" s="22">
        <f>IF(A55="","",IF(COUNTA(G55:I55)&lt;3,"判定保留",IFERROR(CHOOSE(MAX(INDEX('判定表'!$D:$D,MATCH("E|利用範囲|"&amp;G55,'判定表'!$A:$A,0)),INDEX('判定表'!$D:$D,MATCH("E|データの利用範囲|"&amp;H55,'判定表'!$A:$A,0)),INDEX('判定表'!$D:$D,MATCH("E|環境|"&amp;I55,'判定表'!$A:$A,0)))+1,"低","中","高"),"判定表にない回答")))</f>
        <v/>
      </c>
      <c r="K55" s="17" t="n"/>
      <c r="L55" s="17" t="n"/>
      <c r="M55" s="22">
        <f>IF(A55="","",IF(OR(K55="",L55="",D55="",E55="",D55="未確認",E55="未確認"),"判定保留",IFERROR(IF(OR(D55="はい",E55="はい"),INDEX('判定表'!$D:$D,MATCH("L|"&amp;INDEX('判定表'!$D:$D,MATCH("D|"&amp;K55&amp;"|"&amp;L55,'判定表'!$A:$A,0)),'判定表'!$A:$A,0)),INDEX('判定表'!$D:$D,MATCH("D|"&amp;K55&amp;"|"&amp;L55,'判定表'!$A:$A,0))),"判定表にない組み合わせ")))</f>
        <v/>
      </c>
      <c r="N55" s="22">
        <f>IF(A55="","",IF(J55="判定保留","判定保留",IFERROR(INDEX('判定表'!$D:$D,MATCH("S|"&amp;J55,'判定表'!$A:$A,0)),"判定表にない回答")))</f>
        <v/>
      </c>
      <c r="O55" s="22">
        <f>IF(A55="","",IF(N55="留保","—",IF(OR(N55="判定保留",M55="判定保留"),"判定保留",IFERROR(INDEX('判定表'!$D:$D,MATCH("T|"&amp;J55&amp;"|"&amp;M55,'判定表'!$A:$A,0)),"判定表にない組み合わせ"))))</f>
        <v/>
      </c>
    </row>
    <row r="56">
      <c r="A56" s="17" t="n"/>
      <c r="B56" s="17" t="n"/>
      <c r="C56" s="17" t="n"/>
      <c r="D56" s="17" t="n"/>
      <c r="E56" s="17" t="n"/>
      <c r="F56" s="29" t="n"/>
      <c r="G56" s="17" t="n"/>
      <c r="H56" s="17" t="n"/>
      <c r="I56" s="17" t="n"/>
      <c r="J56" s="22">
        <f>IF(A56="","",IF(COUNTA(G56:I56)&lt;3,"判定保留",IFERROR(CHOOSE(MAX(INDEX('判定表'!$D:$D,MATCH("E|利用範囲|"&amp;G56,'判定表'!$A:$A,0)),INDEX('判定表'!$D:$D,MATCH("E|データの利用範囲|"&amp;H56,'判定表'!$A:$A,0)),INDEX('判定表'!$D:$D,MATCH("E|環境|"&amp;I56,'判定表'!$A:$A,0)))+1,"低","中","高"),"判定表にない回答")))</f>
        <v/>
      </c>
      <c r="K56" s="17" t="n"/>
      <c r="L56" s="17" t="n"/>
      <c r="M56" s="22">
        <f>IF(A56="","",IF(OR(K56="",L56="",D56="",E56="",D56="未確認",E56="未確認"),"判定保留",IFERROR(IF(OR(D56="はい",E56="はい"),INDEX('判定表'!$D:$D,MATCH("L|"&amp;INDEX('判定表'!$D:$D,MATCH("D|"&amp;K56&amp;"|"&amp;L56,'判定表'!$A:$A,0)),'判定表'!$A:$A,0)),INDEX('判定表'!$D:$D,MATCH("D|"&amp;K56&amp;"|"&amp;L56,'判定表'!$A:$A,0))),"判定表にない組み合わせ")))</f>
        <v/>
      </c>
      <c r="N56" s="22">
        <f>IF(A56="","",IF(J56="判定保留","判定保留",IFERROR(INDEX('判定表'!$D:$D,MATCH("S|"&amp;J56,'判定表'!$A:$A,0)),"判定表にない回答")))</f>
        <v/>
      </c>
      <c r="O56" s="22">
        <f>IF(A56="","",IF(N56="留保","—",IF(OR(N56="判定保留",M56="判定保留"),"判定保留",IFERROR(INDEX('判定表'!$D:$D,MATCH("T|"&amp;J56&amp;"|"&amp;M56,'判定表'!$A:$A,0)),"判定表にない組み合わせ"))))</f>
        <v/>
      </c>
    </row>
    <row r="57">
      <c r="A57" s="17" t="n"/>
      <c r="B57" s="17" t="n"/>
      <c r="C57" s="17" t="n"/>
      <c r="D57" s="17" t="n"/>
      <c r="E57" s="17" t="n"/>
      <c r="F57" s="29" t="n"/>
      <c r="G57" s="17" t="n"/>
      <c r="H57" s="17" t="n"/>
      <c r="I57" s="17" t="n"/>
      <c r="J57" s="22">
        <f>IF(A57="","",IF(COUNTA(G57:I57)&lt;3,"判定保留",IFERROR(CHOOSE(MAX(INDEX('判定表'!$D:$D,MATCH("E|利用範囲|"&amp;G57,'判定表'!$A:$A,0)),INDEX('判定表'!$D:$D,MATCH("E|データの利用範囲|"&amp;H57,'判定表'!$A:$A,0)),INDEX('判定表'!$D:$D,MATCH("E|環境|"&amp;I57,'判定表'!$A:$A,0)))+1,"低","中","高"),"判定表にない回答")))</f>
        <v/>
      </c>
      <c r="K57" s="17" t="n"/>
      <c r="L57" s="17" t="n"/>
      <c r="M57" s="22">
        <f>IF(A57="","",IF(OR(K57="",L57="",D57="",E57="",D57="未確認",E57="未確認"),"判定保留",IFERROR(IF(OR(D57="はい",E57="はい"),INDEX('判定表'!$D:$D,MATCH("L|"&amp;INDEX('判定表'!$D:$D,MATCH("D|"&amp;K57&amp;"|"&amp;L57,'判定表'!$A:$A,0)),'判定表'!$A:$A,0)),INDEX('判定表'!$D:$D,MATCH("D|"&amp;K57&amp;"|"&amp;L57,'判定表'!$A:$A,0))),"判定表にない組み合わせ")))</f>
        <v/>
      </c>
      <c r="N57" s="22">
        <f>IF(A57="","",IF(J57="判定保留","判定保留",IFERROR(INDEX('判定表'!$D:$D,MATCH("S|"&amp;J57,'判定表'!$A:$A,0)),"判定表にない回答")))</f>
        <v/>
      </c>
      <c r="O57" s="22">
        <f>IF(A57="","",IF(N57="留保","—",IF(OR(N57="判定保留",M57="判定保留"),"判定保留",IFERROR(INDEX('判定表'!$D:$D,MATCH("T|"&amp;J57&amp;"|"&amp;M57,'判定表'!$A:$A,0)),"判定表にない組み合わせ"))))</f>
        <v/>
      </c>
    </row>
    <row r="58">
      <c r="A58" s="17" t="n"/>
      <c r="B58" s="17" t="n"/>
      <c r="C58" s="17" t="n"/>
      <c r="D58" s="17" t="n"/>
      <c r="E58" s="17" t="n"/>
      <c r="F58" s="29" t="n"/>
      <c r="G58" s="17" t="n"/>
      <c r="H58" s="17" t="n"/>
      <c r="I58" s="17" t="n"/>
      <c r="J58" s="22">
        <f>IF(A58="","",IF(COUNTA(G58:I58)&lt;3,"判定保留",IFERROR(CHOOSE(MAX(INDEX('判定表'!$D:$D,MATCH("E|利用範囲|"&amp;G58,'判定表'!$A:$A,0)),INDEX('判定表'!$D:$D,MATCH("E|データの利用範囲|"&amp;H58,'判定表'!$A:$A,0)),INDEX('判定表'!$D:$D,MATCH("E|環境|"&amp;I58,'判定表'!$A:$A,0)))+1,"低","中","高"),"判定表にない回答")))</f>
        <v/>
      </c>
      <c r="K58" s="17" t="n"/>
      <c r="L58" s="17" t="n"/>
      <c r="M58" s="22">
        <f>IF(A58="","",IF(OR(K58="",L58="",D58="",E58="",D58="未確認",E58="未確認"),"判定保留",IFERROR(IF(OR(D58="はい",E58="はい"),INDEX('判定表'!$D:$D,MATCH("L|"&amp;INDEX('判定表'!$D:$D,MATCH("D|"&amp;K58&amp;"|"&amp;L58,'判定表'!$A:$A,0)),'判定表'!$A:$A,0)),INDEX('判定表'!$D:$D,MATCH("D|"&amp;K58&amp;"|"&amp;L58,'判定表'!$A:$A,0))),"判定表にない組み合わせ")))</f>
        <v/>
      </c>
      <c r="N58" s="22">
        <f>IF(A58="","",IF(J58="判定保留","判定保留",IFERROR(INDEX('判定表'!$D:$D,MATCH("S|"&amp;J58,'判定表'!$A:$A,0)),"判定表にない回答")))</f>
        <v/>
      </c>
      <c r="O58" s="22">
        <f>IF(A58="","",IF(N58="留保","—",IF(OR(N58="判定保留",M58="判定保留"),"判定保留",IFERROR(INDEX('判定表'!$D:$D,MATCH("T|"&amp;J58&amp;"|"&amp;M58,'判定表'!$A:$A,0)),"判定表にない組み合わせ"))))</f>
        <v/>
      </c>
    </row>
    <row r="59">
      <c r="A59" s="17" t="n"/>
      <c r="B59" s="17" t="n"/>
      <c r="C59" s="17" t="n"/>
      <c r="D59" s="17" t="n"/>
      <c r="E59" s="17" t="n"/>
      <c r="F59" s="29" t="n"/>
      <c r="G59" s="17" t="n"/>
      <c r="H59" s="17" t="n"/>
      <c r="I59" s="17" t="n"/>
      <c r="J59" s="22">
        <f>IF(A59="","",IF(COUNTA(G59:I59)&lt;3,"判定保留",IFERROR(CHOOSE(MAX(INDEX('判定表'!$D:$D,MATCH("E|利用範囲|"&amp;G59,'判定表'!$A:$A,0)),INDEX('判定表'!$D:$D,MATCH("E|データの利用範囲|"&amp;H59,'判定表'!$A:$A,0)),INDEX('判定表'!$D:$D,MATCH("E|環境|"&amp;I59,'判定表'!$A:$A,0)))+1,"低","中","高"),"判定表にない回答")))</f>
        <v/>
      </c>
      <c r="K59" s="17" t="n"/>
      <c r="L59" s="17" t="n"/>
      <c r="M59" s="22">
        <f>IF(A59="","",IF(OR(K59="",L59="",D59="",E59="",D59="未確認",E59="未確認"),"判定保留",IFERROR(IF(OR(D59="はい",E59="はい"),INDEX('判定表'!$D:$D,MATCH("L|"&amp;INDEX('判定表'!$D:$D,MATCH("D|"&amp;K59&amp;"|"&amp;L59,'判定表'!$A:$A,0)),'判定表'!$A:$A,0)),INDEX('判定表'!$D:$D,MATCH("D|"&amp;K59&amp;"|"&amp;L59,'判定表'!$A:$A,0))),"判定表にない組み合わせ")))</f>
        <v/>
      </c>
      <c r="N59" s="22">
        <f>IF(A59="","",IF(J59="判定保留","判定保留",IFERROR(INDEX('判定表'!$D:$D,MATCH("S|"&amp;J59,'判定表'!$A:$A,0)),"判定表にない回答")))</f>
        <v/>
      </c>
      <c r="O59" s="22">
        <f>IF(A59="","",IF(N59="留保","—",IF(OR(N59="判定保留",M59="判定保留"),"判定保留",IFERROR(INDEX('判定表'!$D:$D,MATCH("T|"&amp;J59&amp;"|"&amp;M59,'判定表'!$A:$A,0)),"判定表にない組み合わせ"))))</f>
        <v/>
      </c>
    </row>
    <row r="60">
      <c r="A60" s="17" t="n"/>
      <c r="B60" s="17" t="n"/>
      <c r="C60" s="17" t="n"/>
      <c r="D60" s="17" t="n"/>
      <c r="E60" s="17" t="n"/>
      <c r="F60" s="29" t="n"/>
      <c r="G60" s="17" t="n"/>
      <c r="H60" s="17" t="n"/>
      <c r="I60" s="17" t="n"/>
      <c r="J60" s="22">
        <f>IF(A60="","",IF(COUNTA(G60:I60)&lt;3,"判定保留",IFERROR(CHOOSE(MAX(INDEX('判定表'!$D:$D,MATCH("E|利用範囲|"&amp;G60,'判定表'!$A:$A,0)),INDEX('判定表'!$D:$D,MATCH("E|データの利用範囲|"&amp;H60,'判定表'!$A:$A,0)),INDEX('判定表'!$D:$D,MATCH("E|環境|"&amp;I60,'判定表'!$A:$A,0)))+1,"低","中","高"),"判定表にない回答")))</f>
        <v/>
      </c>
      <c r="K60" s="17" t="n"/>
      <c r="L60" s="17" t="n"/>
      <c r="M60" s="22">
        <f>IF(A60="","",IF(OR(K60="",L60="",D60="",E60="",D60="未確認",E60="未確認"),"判定保留",IFERROR(IF(OR(D60="はい",E60="はい"),INDEX('判定表'!$D:$D,MATCH("L|"&amp;INDEX('判定表'!$D:$D,MATCH("D|"&amp;K60&amp;"|"&amp;L60,'判定表'!$A:$A,0)),'判定表'!$A:$A,0)),INDEX('判定表'!$D:$D,MATCH("D|"&amp;K60&amp;"|"&amp;L60,'判定表'!$A:$A,0))),"判定表にない組み合わせ")))</f>
        <v/>
      </c>
      <c r="N60" s="22">
        <f>IF(A60="","",IF(J60="判定保留","判定保留",IFERROR(INDEX('判定表'!$D:$D,MATCH("S|"&amp;J60,'判定表'!$A:$A,0)),"判定表にない回答")))</f>
        <v/>
      </c>
      <c r="O60" s="22">
        <f>IF(A60="","",IF(N60="留保","—",IF(OR(N60="判定保留",M60="判定保留"),"判定保留",IFERROR(INDEX('判定表'!$D:$D,MATCH("T|"&amp;J60&amp;"|"&amp;M60,'判定表'!$A:$A,0)),"判定表にない組み合わせ"))))</f>
        <v/>
      </c>
    </row>
    <row r="61">
      <c r="A61" s="17" t="n"/>
      <c r="B61" s="17" t="n"/>
      <c r="C61" s="17" t="n"/>
      <c r="D61" s="17" t="n"/>
      <c r="E61" s="17" t="n"/>
      <c r="F61" s="29" t="n"/>
      <c r="G61" s="17" t="n"/>
      <c r="H61" s="17" t="n"/>
      <c r="I61" s="17" t="n"/>
      <c r="J61" s="22">
        <f>IF(A61="","",IF(COUNTA(G61:I61)&lt;3,"判定保留",IFERROR(CHOOSE(MAX(INDEX('判定表'!$D:$D,MATCH("E|利用範囲|"&amp;G61,'判定表'!$A:$A,0)),INDEX('判定表'!$D:$D,MATCH("E|データの利用範囲|"&amp;H61,'判定表'!$A:$A,0)),INDEX('判定表'!$D:$D,MATCH("E|環境|"&amp;I61,'判定表'!$A:$A,0)))+1,"低","中","高"),"判定表にない回答")))</f>
        <v/>
      </c>
      <c r="K61" s="17" t="n"/>
      <c r="L61" s="17" t="n"/>
      <c r="M61" s="22">
        <f>IF(A61="","",IF(OR(K61="",L61="",D61="",E61="",D61="未確認",E61="未確認"),"判定保留",IFERROR(IF(OR(D61="はい",E61="はい"),INDEX('判定表'!$D:$D,MATCH("L|"&amp;INDEX('判定表'!$D:$D,MATCH("D|"&amp;K61&amp;"|"&amp;L61,'判定表'!$A:$A,0)),'判定表'!$A:$A,0)),INDEX('判定表'!$D:$D,MATCH("D|"&amp;K61&amp;"|"&amp;L61,'判定表'!$A:$A,0))),"判定表にない組み合わせ")))</f>
        <v/>
      </c>
      <c r="N61" s="22">
        <f>IF(A61="","",IF(J61="判定保留","判定保留",IFERROR(INDEX('判定表'!$D:$D,MATCH("S|"&amp;J61,'判定表'!$A:$A,0)),"判定表にない回答")))</f>
        <v/>
      </c>
      <c r="O61" s="22">
        <f>IF(A61="","",IF(N61="留保","—",IF(OR(N61="判定保留",M61="判定保留"),"判定保留",IFERROR(INDEX('判定表'!$D:$D,MATCH("T|"&amp;J61&amp;"|"&amp;M61,'判定表'!$A:$A,0)),"判定表にない組み合わせ"))))</f>
        <v/>
      </c>
    </row>
    <row r="62">
      <c r="A62" s="17" t="n"/>
      <c r="B62" s="17" t="n"/>
      <c r="C62" s="17" t="n"/>
      <c r="D62" s="17" t="n"/>
      <c r="E62" s="17" t="n"/>
      <c r="F62" s="29" t="n"/>
      <c r="G62" s="17" t="n"/>
      <c r="H62" s="17" t="n"/>
      <c r="I62" s="17" t="n"/>
      <c r="J62" s="22">
        <f>IF(A62="","",IF(COUNTA(G62:I62)&lt;3,"判定保留",IFERROR(CHOOSE(MAX(INDEX('判定表'!$D:$D,MATCH("E|利用範囲|"&amp;G62,'判定表'!$A:$A,0)),INDEX('判定表'!$D:$D,MATCH("E|データの利用範囲|"&amp;H62,'判定表'!$A:$A,0)),INDEX('判定表'!$D:$D,MATCH("E|環境|"&amp;I62,'判定表'!$A:$A,0)))+1,"低","中","高"),"判定表にない回答")))</f>
        <v/>
      </c>
      <c r="K62" s="17" t="n"/>
      <c r="L62" s="17" t="n"/>
      <c r="M62" s="22">
        <f>IF(A62="","",IF(OR(K62="",L62="",D62="",E62="",D62="未確認",E62="未確認"),"判定保留",IFERROR(IF(OR(D62="はい",E62="はい"),INDEX('判定表'!$D:$D,MATCH("L|"&amp;INDEX('判定表'!$D:$D,MATCH("D|"&amp;K62&amp;"|"&amp;L62,'判定表'!$A:$A,0)),'判定表'!$A:$A,0)),INDEX('判定表'!$D:$D,MATCH("D|"&amp;K62&amp;"|"&amp;L62,'判定表'!$A:$A,0))),"判定表にない組み合わせ")))</f>
        <v/>
      </c>
      <c r="N62" s="22">
        <f>IF(A62="","",IF(J62="判定保留","判定保留",IFERROR(INDEX('判定表'!$D:$D,MATCH("S|"&amp;J62,'判定表'!$A:$A,0)),"判定表にない回答")))</f>
        <v/>
      </c>
      <c r="O62" s="22">
        <f>IF(A62="","",IF(N62="留保","—",IF(OR(N62="判定保留",M62="判定保留"),"判定保留",IFERROR(INDEX('判定表'!$D:$D,MATCH("T|"&amp;J62&amp;"|"&amp;M62,'判定表'!$A:$A,0)),"判定表にない組み合わせ"))))</f>
        <v/>
      </c>
    </row>
    <row r="63">
      <c r="A63" s="17" t="n"/>
      <c r="B63" s="17" t="n"/>
      <c r="C63" s="17" t="n"/>
      <c r="D63" s="17" t="n"/>
      <c r="E63" s="17" t="n"/>
      <c r="F63" s="29" t="n"/>
      <c r="G63" s="17" t="n"/>
      <c r="H63" s="17" t="n"/>
      <c r="I63" s="17" t="n"/>
      <c r="J63" s="22">
        <f>IF(A63="","",IF(COUNTA(G63:I63)&lt;3,"判定保留",IFERROR(CHOOSE(MAX(INDEX('判定表'!$D:$D,MATCH("E|利用範囲|"&amp;G63,'判定表'!$A:$A,0)),INDEX('判定表'!$D:$D,MATCH("E|データの利用範囲|"&amp;H63,'判定表'!$A:$A,0)),INDEX('判定表'!$D:$D,MATCH("E|環境|"&amp;I63,'判定表'!$A:$A,0)))+1,"低","中","高"),"判定表にない回答")))</f>
        <v/>
      </c>
      <c r="K63" s="17" t="n"/>
      <c r="L63" s="17" t="n"/>
      <c r="M63" s="22">
        <f>IF(A63="","",IF(OR(K63="",L63="",D63="",E63="",D63="未確認",E63="未確認"),"判定保留",IFERROR(IF(OR(D63="はい",E63="はい"),INDEX('判定表'!$D:$D,MATCH("L|"&amp;INDEX('判定表'!$D:$D,MATCH("D|"&amp;K63&amp;"|"&amp;L63,'判定表'!$A:$A,0)),'判定表'!$A:$A,0)),INDEX('判定表'!$D:$D,MATCH("D|"&amp;K63&amp;"|"&amp;L63,'判定表'!$A:$A,0))),"判定表にない組み合わせ")))</f>
        <v/>
      </c>
      <c r="N63" s="22">
        <f>IF(A63="","",IF(J63="判定保留","判定保留",IFERROR(INDEX('判定表'!$D:$D,MATCH("S|"&amp;J63,'判定表'!$A:$A,0)),"判定表にない回答")))</f>
        <v/>
      </c>
      <c r="O63" s="22">
        <f>IF(A63="","",IF(N63="留保","—",IF(OR(N63="判定保留",M63="判定保留"),"判定保留",IFERROR(INDEX('判定表'!$D:$D,MATCH("T|"&amp;J63&amp;"|"&amp;M63,'判定表'!$A:$A,0)),"判定表にない組み合わせ"))))</f>
        <v/>
      </c>
    </row>
    <row r="64">
      <c r="A64" s="17" t="n"/>
      <c r="B64" s="17" t="n"/>
      <c r="C64" s="17" t="n"/>
      <c r="D64" s="17" t="n"/>
      <c r="E64" s="17" t="n"/>
      <c r="F64" s="29" t="n"/>
      <c r="G64" s="17" t="n"/>
      <c r="H64" s="17" t="n"/>
      <c r="I64" s="17" t="n"/>
      <c r="J64" s="22">
        <f>IF(A64="","",IF(COUNTA(G64:I64)&lt;3,"判定保留",IFERROR(CHOOSE(MAX(INDEX('判定表'!$D:$D,MATCH("E|利用範囲|"&amp;G64,'判定表'!$A:$A,0)),INDEX('判定表'!$D:$D,MATCH("E|データの利用範囲|"&amp;H64,'判定表'!$A:$A,0)),INDEX('判定表'!$D:$D,MATCH("E|環境|"&amp;I64,'判定表'!$A:$A,0)))+1,"低","中","高"),"判定表にない回答")))</f>
        <v/>
      </c>
      <c r="K64" s="17" t="n"/>
      <c r="L64" s="17" t="n"/>
      <c r="M64" s="22">
        <f>IF(A64="","",IF(OR(K64="",L64="",D64="",E64="",D64="未確認",E64="未確認"),"判定保留",IFERROR(IF(OR(D64="はい",E64="はい"),INDEX('判定表'!$D:$D,MATCH("L|"&amp;INDEX('判定表'!$D:$D,MATCH("D|"&amp;K64&amp;"|"&amp;L64,'判定表'!$A:$A,0)),'判定表'!$A:$A,0)),INDEX('判定表'!$D:$D,MATCH("D|"&amp;K64&amp;"|"&amp;L64,'判定表'!$A:$A,0))),"判定表にない組み合わせ")))</f>
        <v/>
      </c>
      <c r="N64" s="22">
        <f>IF(A64="","",IF(J64="判定保留","判定保留",IFERROR(INDEX('判定表'!$D:$D,MATCH("S|"&amp;J64,'判定表'!$A:$A,0)),"判定表にない回答")))</f>
        <v/>
      </c>
      <c r="O64" s="22">
        <f>IF(A64="","",IF(N64="留保","—",IF(OR(N64="判定保留",M64="判定保留"),"判定保留",IFERROR(INDEX('判定表'!$D:$D,MATCH("T|"&amp;J64&amp;"|"&amp;M64,'判定表'!$A:$A,0)),"判定表にない組み合わせ"))))</f>
        <v/>
      </c>
    </row>
    <row r="65">
      <c r="A65" s="17" t="n"/>
      <c r="B65" s="17" t="n"/>
      <c r="C65" s="17" t="n"/>
      <c r="D65" s="17" t="n"/>
      <c r="E65" s="17" t="n"/>
      <c r="F65" s="29" t="n"/>
      <c r="G65" s="17" t="n"/>
      <c r="H65" s="17" t="n"/>
      <c r="I65" s="17" t="n"/>
      <c r="J65" s="22">
        <f>IF(A65="","",IF(COUNTA(G65:I65)&lt;3,"判定保留",IFERROR(CHOOSE(MAX(INDEX('判定表'!$D:$D,MATCH("E|利用範囲|"&amp;G65,'判定表'!$A:$A,0)),INDEX('判定表'!$D:$D,MATCH("E|データの利用範囲|"&amp;H65,'判定表'!$A:$A,0)),INDEX('判定表'!$D:$D,MATCH("E|環境|"&amp;I65,'判定表'!$A:$A,0)))+1,"低","中","高"),"判定表にない回答")))</f>
        <v/>
      </c>
      <c r="K65" s="17" t="n"/>
      <c r="L65" s="17" t="n"/>
      <c r="M65" s="22">
        <f>IF(A65="","",IF(OR(K65="",L65="",D65="",E65="",D65="未確認",E65="未確認"),"判定保留",IFERROR(IF(OR(D65="はい",E65="はい"),INDEX('判定表'!$D:$D,MATCH("L|"&amp;INDEX('判定表'!$D:$D,MATCH("D|"&amp;K65&amp;"|"&amp;L65,'判定表'!$A:$A,0)),'判定表'!$A:$A,0)),INDEX('判定表'!$D:$D,MATCH("D|"&amp;K65&amp;"|"&amp;L65,'判定表'!$A:$A,0))),"判定表にない組み合わせ")))</f>
        <v/>
      </c>
      <c r="N65" s="22">
        <f>IF(A65="","",IF(J65="判定保留","判定保留",IFERROR(INDEX('判定表'!$D:$D,MATCH("S|"&amp;J65,'判定表'!$A:$A,0)),"判定表にない回答")))</f>
        <v/>
      </c>
      <c r="O65" s="22">
        <f>IF(A65="","",IF(N65="留保","—",IF(OR(N65="判定保留",M65="判定保留"),"判定保留",IFERROR(INDEX('判定表'!$D:$D,MATCH("T|"&amp;J65&amp;"|"&amp;M65,'判定表'!$A:$A,0)),"判定表にない組み合わせ"))))</f>
        <v/>
      </c>
    </row>
    <row r="66">
      <c r="A66" s="17" t="n"/>
      <c r="B66" s="17" t="n"/>
      <c r="C66" s="17" t="n"/>
      <c r="D66" s="17" t="n"/>
      <c r="E66" s="17" t="n"/>
      <c r="F66" s="29" t="n"/>
      <c r="G66" s="17" t="n"/>
      <c r="H66" s="17" t="n"/>
      <c r="I66" s="17" t="n"/>
      <c r="J66" s="22">
        <f>IF(A66="","",IF(COUNTA(G66:I66)&lt;3,"判定保留",IFERROR(CHOOSE(MAX(INDEX('判定表'!$D:$D,MATCH("E|利用範囲|"&amp;G66,'判定表'!$A:$A,0)),INDEX('判定表'!$D:$D,MATCH("E|データの利用範囲|"&amp;H66,'判定表'!$A:$A,0)),INDEX('判定表'!$D:$D,MATCH("E|環境|"&amp;I66,'判定表'!$A:$A,0)))+1,"低","中","高"),"判定表にない回答")))</f>
        <v/>
      </c>
      <c r="K66" s="17" t="n"/>
      <c r="L66" s="17" t="n"/>
      <c r="M66" s="22">
        <f>IF(A66="","",IF(OR(K66="",L66="",D66="",E66="",D66="未確認",E66="未確認"),"判定保留",IFERROR(IF(OR(D66="はい",E66="はい"),INDEX('判定表'!$D:$D,MATCH("L|"&amp;INDEX('判定表'!$D:$D,MATCH("D|"&amp;K66&amp;"|"&amp;L66,'判定表'!$A:$A,0)),'判定表'!$A:$A,0)),INDEX('判定表'!$D:$D,MATCH("D|"&amp;K66&amp;"|"&amp;L66,'判定表'!$A:$A,0))),"判定表にない組み合わせ")))</f>
        <v/>
      </c>
      <c r="N66" s="22">
        <f>IF(A66="","",IF(J66="判定保留","判定保留",IFERROR(INDEX('判定表'!$D:$D,MATCH("S|"&amp;J66,'判定表'!$A:$A,0)),"判定表にない回答")))</f>
        <v/>
      </c>
      <c r="O66" s="22">
        <f>IF(A66="","",IF(N66="留保","—",IF(OR(N66="判定保留",M66="判定保留"),"判定保留",IFERROR(INDEX('判定表'!$D:$D,MATCH("T|"&amp;J66&amp;"|"&amp;M66,'判定表'!$A:$A,0)),"判定表にない組み合わせ"))))</f>
        <v/>
      </c>
    </row>
    <row r="67">
      <c r="A67" s="17" t="n"/>
      <c r="B67" s="17" t="n"/>
      <c r="C67" s="17" t="n"/>
      <c r="D67" s="17" t="n"/>
      <c r="E67" s="17" t="n"/>
      <c r="F67" s="29" t="n"/>
      <c r="G67" s="17" t="n"/>
      <c r="H67" s="17" t="n"/>
      <c r="I67" s="17" t="n"/>
      <c r="J67" s="22">
        <f>IF(A67="","",IF(COUNTA(G67:I67)&lt;3,"判定保留",IFERROR(CHOOSE(MAX(INDEX('判定表'!$D:$D,MATCH("E|利用範囲|"&amp;G67,'判定表'!$A:$A,0)),INDEX('判定表'!$D:$D,MATCH("E|データの利用範囲|"&amp;H67,'判定表'!$A:$A,0)),INDEX('判定表'!$D:$D,MATCH("E|環境|"&amp;I67,'判定表'!$A:$A,0)))+1,"低","中","高"),"判定表にない回答")))</f>
        <v/>
      </c>
      <c r="K67" s="17" t="n"/>
      <c r="L67" s="17" t="n"/>
      <c r="M67" s="22">
        <f>IF(A67="","",IF(OR(K67="",L67="",D67="",E67="",D67="未確認",E67="未確認"),"判定保留",IFERROR(IF(OR(D67="はい",E67="はい"),INDEX('判定表'!$D:$D,MATCH("L|"&amp;INDEX('判定表'!$D:$D,MATCH("D|"&amp;K67&amp;"|"&amp;L67,'判定表'!$A:$A,0)),'判定表'!$A:$A,0)),INDEX('判定表'!$D:$D,MATCH("D|"&amp;K67&amp;"|"&amp;L67,'判定表'!$A:$A,0))),"判定表にない組み合わせ")))</f>
        <v/>
      </c>
      <c r="N67" s="22">
        <f>IF(A67="","",IF(J67="判定保留","判定保留",IFERROR(INDEX('判定表'!$D:$D,MATCH("S|"&amp;J67,'判定表'!$A:$A,0)),"判定表にない回答")))</f>
        <v/>
      </c>
      <c r="O67" s="22">
        <f>IF(A67="","",IF(N67="留保","—",IF(OR(N67="判定保留",M67="判定保留"),"判定保留",IFERROR(INDEX('判定表'!$D:$D,MATCH("T|"&amp;J67&amp;"|"&amp;M67,'判定表'!$A:$A,0)),"判定表にない組み合わせ"))))</f>
        <v/>
      </c>
    </row>
    <row r="68">
      <c r="A68" s="17" t="n"/>
      <c r="B68" s="17" t="n"/>
      <c r="C68" s="17" t="n"/>
      <c r="D68" s="17" t="n"/>
      <c r="E68" s="17" t="n"/>
      <c r="F68" s="29" t="n"/>
      <c r="G68" s="17" t="n"/>
      <c r="H68" s="17" t="n"/>
      <c r="I68" s="17" t="n"/>
      <c r="J68" s="22">
        <f>IF(A68="","",IF(COUNTA(G68:I68)&lt;3,"判定保留",IFERROR(CHOOSE(MAX(INDEX('判定表'!$D:$D,MATCH("E|利用範囲|"&amp;G68,'判定表'!$A:$A,0)),INDEX('判定表'!$D:$D,MATCH("E|データの利用範囲|"&amp;H68,'判定表'!$A:$A,0)),INDEX('判定表'!$D:$D,MATCH("E|環境|"&amp;I68,'判定表'!$A:$A,0)))+1,"低","中","高"),"判定表にない回答")))</f>
        <v/>
      </c>
      <c r="K68" s="17" t="n"/>
      <c r="L68" s="17" t="n"/>
      <c r="M68" s="22">
        <f>IF(A68="","",IF(OR(K68="",L68="",D68="",E68="",D68="未確認",E68="未確認"),"判定保留",IFERROR(IF(OR(D68="はい",E68="はい"),INDEX('判定表'!$D:$D,MATCH("L|"&amp;INDEX('判定表'!$D:$D,MATCH("D|"&amp;K68&amp;"|"&amp;L68,'判定表'!$A:$A,0)),'判定表'!$A:$A,0)),INDEX('判定表'!$D:$D,MATCH("D|"&amp;K68&amp;"|"&amp;L68,'判定表'!$A:$A,0))),"判定表にない組み合わせ")))</f>
        <v/>
      </c>
      <c r="N68" s="22">
        <f>IF(A68="","",IF(J68="判定保留","判定保留",IFERROR(INDEX('判定表'!$D:$D,MATCH("S|"&amp;J68,'判定表'!$A:$A,0)),"判定表にない回答")))</f>
        <v/>
      </c>
      <c r="O68" s="22">
        <f>IF(A68="","",IF(N68="留保","—",IF(OR(N68="判定保留",M68="判定保留"),"判定保留",IFERROR(INDEX('判定表'!$D:$D,MATCH("T|"&amp;J68&amp;"|"&amp;M68,'判定表'!$A:$A,0)),"判定表にない組み合わせ"))))</f>
        <v/>
      </c>
    </row>
    <row r="69">
      <c r="A69" s="17" t="n"/>
      <c r="B69" s="17" t="n"/>
      <c r="C69" s="17" t="n"/>
      <c r="D69" s="17" t="n"/>
      <c r="E69" s="17" t="n"/>
      <c r="F69" s="29" t="n"/>
      <c r="G69" s="17" t="n"/>
      <c r="H69" s="17" t="n"/>
      <c r="I69" s="17" t="n"/>
      <c r="J69" s="22">
        <f>IF(A69="","",IF(COUNTA(G69:I69)&lt;3,"判定保留",IFERROR(CHOOSE(MAX(INDEX('判定表'!$D:$D,MATCH("E|利用範囲|"&amp;G69,'判定表'!$A:$A,0)),INDEX('判定表'!$D:$D,MATCH("E|データの利用範囲|"&amp;H69,'判定表'!$A:$A,0)),INDEX('判定表'!$D:$D,MATCH("E|環境|"&amp;I69,'判定表'!$A:$A,0)))+1,"低","中","高"),"判定表にない回答")))</f>
        <v/>
      </c>
      <c r="K69" s="17" t="n"/>
      <c r="L69" s="17" t="n"/>
      <c r="M69" s="22">
        <f>IF(A69="","",IF(OR(K69="",L69="",D69="",E69="",D69="未確認",E69="未確認"),"判定保留",IFERROR(IF(OR(D69="はい",E69="はい"),INDEX('判定表'!$D:$D,MATCH("L|"&amp;INDEX('判定表'!$D:$D,MATCH("D|"&amp;K69&amp;"|"&amp;L69,'判定表'!$A:$A,0)),'判定表'!$A:$A,0)),INDEX('判定表'!$D:$D,MATCH("D|"&amp;K69&amp;"|"&amp;L69,'判定表'!$A:$A,0))),"判定表にない組み合わせ")))</f>
        <v/>
      </c>
      <c r="N69" s="22">
        <f>IF(A69="","",IF(J69="判定保留","判定保留",IFERROR(INDEX('判定表'!$D:$D,MATCH("S|"&amp;J69,'判定表'!$A:$A,0)),"判定表にない回答")))</f>
        <v/>
      </c>
      <c r="O69" s="22">
        <f>IF(A69="","",IF(N69="留保","—",IF(OR(N69="判定保留",M69="判定保留"),"判定保留",IFERROR(INDEX('判定表'!$D:$D,MATCH("T|"&amp;J69&amp;"|"&amp;M69,'判定表'!$A:$A,0)),"判定表にない組み合わせ"))))</f>
        <v/>
      </c>
    </row>
    <row r="70">
      <c r="A70" s="17" t="n"/>
      <c r="B70" s="17" t="n"/>
      <c r="C70" s="17" t="n"/>
      <c r="D70" s="17" t="n"/>
      <c r="E70" s="17" t="n"/>
      <c r="F70" s="29" t="n"/>
      <c r="G70" s="17" t="n"/>
      <c r="H70" s="17" t="n"/>
      <c r="I70" s="17" t="n"/>
      <c r="J70" s="22">
        <f>IF(A70="","",IF(COUNTA(G70:I70)&lt;3,"判定保留",IFERROR(CHOOSE(MAX(INDEX('判定表'!$D:$D,MATCH("E|利用範囲|"&amp;G70,'判定表'!$A:$A,0)),INDEX('判定表'!$D:$D,MATCH("E|データの利用範囲|"&amp;H70,'判定表'!$A:$A,0)),INDEX('判定表'!$D:$D,MATCH("E|環境|"&amp;I70,'判定表'!$A:$A,0)))+1,"低","中","高"),"判定表にない回答")))</f>
        <v/>
      </c>
      <c r="K70" s="17" t="n"/>
      <c r="L70" s="17" t="n"/>
      <c r="M70" s="22">
        <f>IF(A70="","",IF(OR(K70="",L70="",D70="",E70="",D70="未確認",E70="未確認"),"判定保留",IFERROR(IF(OR(D70="はい",E70="はい"),INDEX('判定表'!$D:$D,MATCH("L|"&amp;INDEX('判定表'!$D:$D,MATCH("D|"&amp;K70&amp;"|"&amp;L70,'判定表'!$A:$A,0)),'判定表'!$A:$A,0)),INDEX('判定表'!$D:$D,MATCH("D|"&amp;K70&amp;"|"&amp;L70,'判定表'!$A:$A,0))),"判定表にない組み合わせ")))</f>
        <v/>
      </c>
      <c r="N70" s="22">
        <f>IF(A70="","",IF(J70="判定保留","判定保留",IFERROR(INDEX('判定表'!$D:$D,MATCH("S|"&amp;J70,'判定表'!$A:$A,0)),"判定表にない回答")))</f>
        <v/>
      </c>
      <c r="O70" s="22">
        <f>IF(A70="","",IF(N70="留保","—",IF(OR(N70="判定保留",M70="判定保留"),"判定保留",IFERROR(INDEX('判定表'!$D:$D,MATCH("T|"&amp;J70&amp;"|"&amp;M70,'判定表'!$A:$A,0)),"判定表にない組み合わせ"))))</f>
        <v/>
      </c>
    </row>
    <row r="71">
      <c r="A71" s="17" t="n"/>
      <c r="B71" s="17" t="n"/>
      <c r="C71" s="17" t="n"/>
      <c r="D71" s="17" t="n"/>
      <c r="E71" s="17" t="n"/>
      <c r="F71" s="29" t="n"/>
      <c r="G71" s="17" t="n"/>
      <c r="H71" s="17" t="n"/>
      <c r="I71" s="17" t="n"/>
      <c r="J71" s="22">
        <f>IF(A71="","",IF(COUNTA(G71:I71)&lt;3,"判定保留",IFERROR(CHOOSE(MAX(INDEX('判定表'!$D:$D,MATCH("E|利用範囲|"&amp;G71,'判定表'!$A:$A,0)),INDEX('判定表'!$D:$D,MATCH("E|データの利用範囲|"&amp;H71,'判定表'!$A:$A,0)),INDEX('判定表'!$D:$D,MATCH("E|環境|"&amp;I71,'判定表'!$A:$A,0)))+1,"低","中","高"),"判定表にない回答")))</f>
        <v/>
      </c>
      <c r="K71" s="17" t="n"/>
      <c r="L71" s="17" t="n"/>
      <c r="M71" s="22">
        <f>IF(A71="","",IF(OR(K71="",L71="",D71="",E71="",D71="未確認",E71="未確認"),"判定保留",IFERROR(IF(OR(D71="はい",E71="はい"),INDEX('判定表'!$D:$D,MATCH("L|"&amp;INDEX('判定表'!$D:$D,MATCH("D|"&amp;K71&amp;"|"&amp;L71,'判定表'!$A:$A,0)),'判定表'!$A:$A,0)),INDEX('判定表'!$D:$D,MATCH("D|"&amp;K71&amp;"|"&amp;L71,'判定表'!$A:$A,0))),"判定表にない組み合わせ")))</f>
        <v/>
      </c>
      <c r="N71" s="22">
        <f>IF(A71="","",IF(J71="判定保留","判定保留",IFERROR(INDEX('判定表'!$D:$D,MATCH("S|"&amp;J71,'判定表'!$A:$A,0)),"判定表にない回答")))</f>
        <v/>
      </c>
      <c r="O71" s="22">
        <f>IF(A71="","",IF(N71="留保","—",IF(OR(N71="判定保留",M71="判定保留"),"判定保留",IFERROR(INDEX('判定表'!$D:$D,MATCH("T|"&amp;J71&amp;"|"&amp;M71,'判定表'!$A:$A,0)),"判定表にない組み合わせ"))))</f>
        <v/>
      </c>
    </row>
    <row r="72">
      <c r="A72" s="17" t="n"/>
      <c r="B72" s="17" t="n"/>
      <c r="C72" s="17" t="n"/>
      <c r="D72" s="17" t="n"/>
      <c r="E72" s="17" t="n"/>
      <c r="F72" s="29" t="n"/>
      <c r="G72" s="17" t="n"/>
      <c r="H72" s="17" t="n"/>
      <c r="I72" s="17" t="n"/>
      <c r="J72" s="22">
        <f>IF(A72="","",IF(COUNTA(G72:I72)&lt;3,"判定保留",IFERROR(CHOOSE(MAX(INDEX('判定表'!$D:$D,MATCH("E|利用範囲|"&amp;G72,'判定表'!$A:$A,0)),INDEX('判定表'!$D:$D,MATCH("E|データの利用範囲|"&amp;H72,'判定表'!$A:$A,0)),INDEX('判定表'!$D:$D,MATCH("E|環境|"&amp;I72,'判定表'!$A:$A,0)))+1,"低","中","高"),"判定表にない回答")))</f>
        <v/>
      </c>
      <c r="K72" s="17" t="n"/>
      <c r="L72" s="17" t="n"/>
      <c r="M72" s="22">
        <f>IF(A72="","",IF(OR(K72="",L72="",D72="",E72="",D72="未確認",E72="未確認"),"判定保留",IFERROR(IF(OR(D72="はい",E72="はい"),INDEX('判定表'!$D:$D,MATCH("L|"&amp;INDEX('判定表'!$D:$D,MATCH("D|"&amp;K72&amp;"|"&amp;L72,'判定表'!$A:$A,0)),'判定表'!$A:$A,0)),INDEX('判定表'!$D:$D,MATCH("D|"&amp;K72&amp;"|"&amp;L72,'判定表'!$A:$A,0))),"判定表にない組み合わせ")))</f>
        <v/>
      </c>
      <c r="N72" s="22">
        <f>IF(A72="","",IF(J72="判定保留","判定保留",IFERROR(INDEX('判定表'!$D:$D,MATCH("S|"&amp;J72,'判定表'!$A:$A,0)),"判定表にない回答")))</f>
        <v/>
      </c>
      <c r="O72" s="22">
        <f>IF(A72="","",IF(N72="留保","—",IF(OR(N72="判定保留",M72="判定保留"),"判定保留",IFERROR(INDEX('判定表'!$D:$D,MATCH("T|"&amp;J72&amp;"|"&amp;M72,'判定表'!$A:$A,0)),"判定表にない組み合わせ"))))</f>
        <v/>
      </c>
    </row>
    <row r="73">
      <c r="A73" s="17" t="n"/>
      <c r="B73" s="17" t="n"/>
      <c r="C73" s="17" t="n"/>
      <c r="D73" s="17" t="n"/>
      <c r="E73" s="17" t="n"/>
      <c r="F73" s="29" t="n"/>
      <c r="G73" s="17" t="n"/>
      <c r="H73" s="17" t="n"/>
      <c r="I73" s="17" t="n"/>
      <c r="J73" s="22">
        <f>IF(A73="","",IF(COUNTA(G73:I73)&lt;3,"判定保留",IFERROR(CHOOSE(MAX(INDEX('判定表'!$D:$D,MATCH("E|利用範囲|"&amp;G73,'判定表'!$A:$A,0)),INDEX('判定表'!$D:$D,MATCH("E|データの利用範囲|"&amp;H73,'判定表'!$A:$A,0)),INDEX('判定表'!$D:$D,MATCH("E|環境|"&amp;I73,'判定表'!$A:$A,0)))+1,"低","中","高"),"判定表にない回答")))</f>
        <v/>
      </c>
      <c r="K73" s="17" t="n"/>
      <c r="L73" s="17" t="n"/>
      <c r="M73" s="22">
        <f>IF(A73="","",IF(OR(K73="",L73="",D73="",E73="",D73="未確認",E73="未確認"),"判定保留",IFERROR(IF(OR(D73="はい",E73="はい"),INDEX('判定表'!$D:$D,MATCH("L|"&amp;INDEX('判定表'!$D:$D,MATCH("D|"&amp;K73&amp;"|"&amp;L73,'判定表'!$A:$A,0)),'判定表'!$A:$A,0)),INDEX('判定表'!$D:$D,MATCH("D|"&amp;K73&amp;"|"&amp;L73,'判定表'!$A:$A,0))),"判定表にない組み合わせ")))</f>
        <v/>
      </c>
      <c r="N73" s="22">
        <f>IF(A73="","",IF(J73="判定保留","判定保留",IFERROR(INDEX('判定表'!$D:$D,MATCH("S|"&amp;J73,'判定表'!$A:$A,0)),"判定表にない回答")))</f>
        <v/>
      </c>
      <c r="O73" s="22">
        <f>IF(A73="","",IF(N73="留保","—",IF(OR(N73="判定保留",M73="判定保留"),"判定保留",IFERROR(INDEX('判定表'!$D:$D,MATCH("T|"&amp;J73&amp;"|"&amp;M73,'判定表'!$A:$A,0)),"判定表にない組み合わせ"))))</f>
        <v/>
      </c>
    </row>
    <row r="74">
      <c r="A74" s="17" t="n"/>
      <c r="B74" s="17" t="n"/>
      <c r="C74" s="17" t="n"/>
      <c r="D74" s="17" t="n"/>
      <c r="E74" s="17" t="n"/>
      <c r="F74" s="29" t="n"/>
      <c r="G74" s="17" t="n"/>
      <c r="H74" s="17" t="n"/>
      <c r="I74" s="17" t="n"/>
      <c r="J74" s="22">
        <f>IF(A74="","",IF(COUNTA(G74:I74)&lt;3,"判定保留",IFERROR(CHOOSE(MAX(INDEX('判定表'!$D:$D,MATCH("E|利用範囲|"&amp;G74,'判定表'!$A:$A,0)),INDEX('判定表'!$D:$D,MATCH("E|データの利用範囲|"&amp;H74,'判定表'!$A:$A,0)),INDEX('判定表'!$D:$D,MATCH("E|環境|"&amp;I74,'判定表'!$A:$A,0)))+1,"低","中","高"),"判定表にない回答")))</f>
        <v/>
      </c>
      <c r="K74" s="17" t="n"/>
      <c r="L74" s="17" t="n"/>
      <c r="M74" s="22">
        <f>IF(A74="","",IF(OR(K74="",L74="",D74="",E74="",D74="未確認",E74="未確認"),"判定保留",IFERROR(IF(OR(D74="はい",E74="はい"),INDEX('判定表'!$D:$D,MATCH("L|"&amp;INDEX('判定表'!$D:$D,MATCH("D|"&amp;K74&amp;"|"&amp;L74,'判定表'!$A:$A,0)),'判定表'!$A:$A,0)),INDEX('判定表'!$D:$D,MATCH("D|"&amp;K74&amp;"|"&amp;L74,'判定表'!$A:$A,0))),"判定表にない組み合わせ")))</f>
        <v/>
      </c>
      <c r="N74" s="22">
        <f>IF(A74="","",IF(J74="判定保留","判定保留",IFERROR(INDEX('判定表'!$D:$D,MATCH("S|"&amp;J74,'判定表'!$A:$A,0)),"判定表にない回答")))</f>
        <v/>
      </c>
      <c r="O74" s="22">
        <f>IF(A74="","",IF(N74="留保","—",IF(OR(N74="判定保留",M74="判定保留"),"判定保留",IFERROR(INDEX('判定表'!$D:$D,MATCH("T|"&amp;J74&amp;"|"&amp;M74,'判定表'!$A:$A,0)),"判定表にない組み合わせ"))))</f>
        <v/>
      </c>
    </row>
    <row r="75">
      <c r="A75" s="17" t="n"/>
      <c r="B75" s="17" t="n"/>
      <c r="C75" s="17" t="n"/>
      <c r="D75" s="17" t="n"/>
      <c r="E75" s="17" t="n"/>
      <c r="F75" s="29" t="n"/>
      <c r="G75" s="17" t="n"/>
      <c r="H75" s="17" t="n"/>
      <c r="I75" s="17" t="n"/>
      <c r="J75" s="22">
        <f>IF(A75="","",IF(COUNTA(G75:I75)&lt;3,"判定保留",IFERROR(CHOOSE(MAX(INDEX('判定表'!$D:$D,MATCH("E|利用範囲|"&amp;G75,'判定表'!$A:$A,0)),INDEX('判定表'!$D:$D,MATCH("E|データの利用範囲|"&amp;H75,'判定表'!$A:$A,0)),INDEX('判定表'!$D:$D,MATCH("E|環境|"&amp;I75,'判定表'!$A:$A,0)))+1,"低","中","高"),"判定表にない回答")))</f>
        <v/>
      </c>
      <c r="K75" s="17" t="n"/>
      <c r="L75" s="17" t="n"/>
      <c r="M75" s="22">
        <f>IF(A75="","",IF(OR(K75="",L75="",D75="",E75="",D75="未確認",E75="未確認"),"判定保留",IFERROR(IF(OR(D75="はい",E75="はい"),INDEX('判定表'!$D:$D,MATCH("L|"&amp;INDEX('判定表'!$D:$D,MATCH("D|"&amp;K75&amp;"|"&amp;L75,'判定表'!$A:$A,0)),'判定表'!$A:$A,0)),INDEX('判定表'!$D:$D,MATCH("D|"&amp;K75&amp;"|"&amp;L75,'判定表'!$A:$A,0))),"判定表にない組み合わせ")))</f>
        <v/>
      </c>
      <c r="N75" s="22">
        <f>IF(A75="","",IF(J75="判定保留","判定保留",IFERROR(INDEX('判定表'!$D:$D,MATCH("S|"&amp;J75,'判定表'!$A:$A,0)),"判定表にない回答")))</f>
        <v/>
      </c>
      <c r="O75" s="22">
        <f>IF(A75="","",IF(N75="留保","—",IF(OR(N75="判定保留",M75="判定保留"),"判定保留",IFERROR(INDEX('判定表'!$D:$D,MATCH("T|"&amp;J75&amp;"|"&amp;M75,'判定表'!$A:$A,0)),"判定表にない組み合わせ"))))</f>
        <v/>
      </c>
    </row>
    <row r="76">
      <c r="A76" s="17" t="n"/>
      <c r="B76" s="17" t="n"/>
      <c r="C76" s="17" t="n"/>
      <c r="D76" s="17" t="n"/>
      <c r="E76" s="17" t="n"/>
      <c r="F76" s="29" t="n"/>
      <c r="G76" s="17" t="n"/>
      <c r="H76" s="17" t="n"/>
      <c r="I76" s="17" t="n"/>
      <c r="J76" s="22">
        <f>IF(A76="","",IF(COUNTA(G76:I76)&lt;3,"判定保留",IFERROR(CHOOSE(MAX(INDEX('判定表'!$D:$D,MATCH("E|利用範囲|"&amp;G76,'判定表'!$A:$A,0)),INDEX('判定表'!$D:$D,MATCH("E|データの利用範囲|"&amp;H76,'判定表'!$A:$A,0)),INDEX('判定表'!$D:$D,MATCH("E|環境|"&amp;I76,'判定表'!$A:$A,0)))+1,"低","中","高"),"判定表にない回答")))</f>
        <v/>
      </c>
      <c r="K76" s="17" t="n"/>
      <c r="L76" s="17" t="n"/>
      <c r="M76" s="22">
        <f>IF(A76="","",IF(OR(K76="",L76="",D76="",E76="",D76="未確認",E76="未確認"),"判定保留",IFERROR(IF(OR(D76="はい",E76="はい"),INDEX('判定表'!$D:$D,MATCH("L|"&amp;INDEX('判定表'!$D:$D,MATCH("D|"&amp;K76&amp;"|"&amp;L76,'判定表'!$A:$A,0)),'判定表'!$A:$A,0)),INDEX('判定表'!$D:$D,MATCH("D|"&amp;K76&amp;"|"&amp;L76,'判定表'!$A:$A,0))),"判定表にない組み合わせ")))</f>
        <v/>
      </c>
      <c r="N76" s="22">
        <f>IF(A76="","",IF(J76="判定保留","判定保留",IFERROR(INDEX('判定表'!$D:$D,MATCH("S|"&amp;J76,'判定表'!$A:$A,0)),"判定表にない回答")))</f>
        <v/>
      </c>
      <c r="O76" s="22">
        <f>IF(A76="","",IF(N76="留保","—",IF(OR(N76="判定保留",M76="判定保留"),"判定保留",IFERROR(INDEX('判定表'!$D:$D,MATCH("T|"&amp;J76&amp;"|"&amp;M76,'判定表'!$A:$A,0)),"判定表にない組み合わせ"))))</f>
        <v/>
      </c>
    </row>
    <row r="77">
      <c r="A77" s="17" t="n"/>
      <c r="B77" s="17" t="n"/>
      <c r="C77" s="17" t="n"/>
      <c r="D77" s="17" t="n"/>
      <c r="E77" s="17" t="n"/>
      <c r="F77" s="29" t="n"/>
      <c r="G77" s="17" t="n"/>
      <c r="H77" s="17" t="n"/>
      <c r="I77" s="17" t="n"/>
      <c r="J77" s="22">
        <f>IF(A77="","",IF(COUNTA(G77:I77)&lt;3,"判定保留",IFERROR(CHOOSE(MAX(INDEX('判定表'!$D:$D,MATCH("E|利用範囲|"&amp;G77,'判定表'!$A:$A,0)),INDEX('判定表'!$D:$D,MATCH("E|データの利用範囲|"&amp;H77,'判定表'!$A:$A,0)),INDEX('判定表'!$D:$D,MATCH("E|環境|"&amp;I77,'判定表'!$A:$A,0)))+1,"低","中","高"),"判定表にない回答")))</f>
        <v/>
      </c>
      <c r="K77" s="17" t="n"/>
      <c r="L77" s="17" t="n"/>
      <c r="M77" s="22">
        <f>IF(A77="","",IF(OR(K77="",L77="",D77="",E77="",D77="未確認",E77="未確認"),"判定保留",IFERROR(IF(OR(D77="はい",E77="はい"),INDEX('判定表'!$D:$D,MATCH("L|"&amp;INDEX('判定表'!$D:$D,MATCH("D|"&amp;K77&amp;"|"&amp;L77,'判定表'!$A:$A,0)),'判定表'!$A:$A,0)),INDEX('判定表'!$D:$D,MATCH("D|"&amp;K77&amp;"|"&amp;L77,'判定表'!$A:$A,0))),"判定表にない組み合わせ")))</f>
        <v/>
      </c>
      <c r="N77" s="22">
        <f>IF(A77="","",IF(J77="判定保留","判定保留",IFERROR(INDEX('判定表'!$D:$D,MATCH("S|"&amp;J77,'判定表'!$A:$A,0)),"判定表にない回答")))</f>
        <v/>
      </c>
      <c r="O77" s="22">
        <f>IF(A77="","",IF(N77="留保","—",IF(OR(N77="判定保留",M77="判定保留"),"判定保留",IFERROR(INDEX('判定表'!$D:$D,MATCH("T|"&amp;J77&amp;"|"&amp;M77,'判定表'!$A:$A,0)),"判定表にない組み合わせ"))))</f>
        <v/>
      </c>
    </row>
    <row r="78">
      <c r="A78" s="17" t="n"/>
      <c r="B78" s="17" t="n"/>
      <c r="C78" s="17" t="n"/>
      <c r="D78" s="17" t="n"/>
      <c r="E78" s="17" t="n"/>
      <c r="F78" s="29" t="n"/>
      <c r="G78" s="17" t="n"/>
      <c r="H78" s="17" t="n"/>
      <c r="I78" s="17" t="n"/>
      <c r="J78" s="22">
        <f>IF(A78="","",IF(COUNTA(G78:I78)&lt;3,"判定保留",IFERROR(CHOOSE(MAX(INDEX('判定表'!$D:$D,MATCH("E|利用範囲|"&amp;G78,'判定表'!$A:$A,0)),INDEX('判定表'!$D:$D,MATCH("E|データの利用範囲|"&amp;H78,'判定表'!$A:$A,0)),INDEX('判定表'!$D:$D,MATCH("E|環境|"&amp;I78,'判定表'!$A:$A,0)))+1,"低","中","高"),"判定表にない回答")))</f>
        <v/>
      </c>
      <c r="K78" s="17" t="n"/>
      <c r="L78" s="17" t="n"/>
      <c r="M78" s="22">
        <f>IF(A78="","",IF(OR(K78="",L78="",D78="",E78="",D78="未確認",E78="未確認"),"判定保留",IFERROR(IF(OR(D78="はい",E78="はい"),INDEX('判定表'!$D:$D,MATCH("L|"&amp;INDEX('判定表'!$D:$D,MATCH("D|"&amp;K78&amp;"|"&amp;L78,'判定表'!$A:$A,0)),'判定表'!$A:$A,0)),INDEX('判定表'!$D:$D,MATCH("D|"&amp;K78&amp;"|"&amp;L78,'判定表'!$A:$A,0))),"判定表にない組み合わせ")))</f>
        <v/>
      </c>
      <c r="N78" s="22">
        <f>IF(A78="","",IF(J78="判定保留","判定保留",IFERROR(INDEX('判定表'!$D:$D,MATCH("S|"&amp;J78,'判定表'!$A:$A,0)),"判定表にない回答")))</f>
        <v/>
      </c>
      <c r="O78" s="22">
        <f>IF(A78="","",IF(N78="留保","—",IF(OR(N78="判定保留",M78="判定保留"),"判定保留",IFERROR(INDEX('判定表'!$D:$D,MATCH("T|"&amp;J78&amp;"|"&amp;M78,'判定表'!$A:$A,0)),"判定表にない組み合わせ"))))</f>
        <v/>
      </c>
    </row>
    <row r="79">
      <c r="A79" s="17" t="n"/>
      <c r="B79" s="17" t="n"/>
      <c r="C79" s="17" t="n"/>
      <c r="D79" s="17" t="n"/>
      <c r="E79" s="17" t="n"/>
      <c r="F79" s="29" t="n"/>
      <c r="G79" s="17" t="n"/>
      <c r="H79" s="17" t="n"/>
      <c r="I79" s="17" t="n"/>
      <c r="J79" s="22">
        <f>IF(A79="","",IF(COUNTA(G79:I79)&lt;3,"判定保留",IFERROR(CHOOSE(MAX(INDEX('判定表'!$D:$D,MATCH("E|利用範囲|"&amp;G79,'判定表'!$A:$A,0)),INDEX('判定表'!$D:$D,MATCH("E|データの利用範囲|"&amp;H79,'判定表'!$A:$A,0)),INDEX('判定表'!$D:$D,MATCH("E|環境|"&amp;I79,'判定表'!$A:$A,0)))+1,"低","中","高"),"判定表にない回答")))</f>
        <v/>
      </c>
      <c r="K79" s="17" t="n"/>
      <c r="L79" s="17" t="n"/>
      <c r="M79" s="22">
        <f>IF(A79="","",IF(OR(K79="",L79="",D79="",E79="",D79="未確認",E79="未確認"),"判定保留",IFERROR(IF(OR(D79="はい",E79="はい"),INDEX('判定表'!$D:$D,MATCH("L|"&amp;INDEX('判定表'!$D:$D,MATCH("D|"&amp;K79&amp;"|"&amp;L79,'判定表'!$A:$A,0)),'判定表'!$A:$A,0)),INDEX('判定表'!$D:$D,MATCH("D|"&amp;K79&amp;"|"&amp;L79,'判定表'!$A:$A,0))),"判定表にない組み合わせ")))</f>
        <v/>
      </c>
      <c r="N79" s="22">
        <f>IF(A79="","",IF(J79="判定保留","判定保留",IFERROR(INDEX('判定表'!$D:$D,MATCH("S|"&amp;J79,'判定表'!$A:$A,0)),"判定表にない回答")))</f>
        <v/>
      </c>
      <c r="O79" s="22">
        <f>IF(A79="","",IF(N79="留保","—",IF(OR(N79="判定保留",M79="判定保留"),"判定保留",IFERROR(INDEX('判定表'!$D:$D,MATCH("T|"&amp;J79&amp;"|"&amp;M79,'判定表'!$A:$A,0)),"判定表にない組み合わせ"))))</f>
        <v/>
      </c>
    </row>
    <row r="80">
      <c r="A80" s="17" t="n"/>
      <c r="B80" s="17" t="n"/>
      <c r="C80" s="17" t="n"/>
      <c r="D80" s="17" t="n"/>
      <c r="E80" s="17" t="n"/>
      <c r="F80" s="29" t="n"/>
      <c r="G80" s="17" t="n"/>
      <c r="H80" s="17" t="n"/>
      <c r="I80" s="17" t="n"/>
      <c r="J80" s="22">
        <f>IF(A80="","",IF(COUNTA(G80:I80)&lt;3,"判定保留",IFERROR(CHOOSE(MAX(INDEX('判定表'!$D:$D,MATCH("E|利用範囲|"&amp;G80,'判定表'!$A:$A,0)),INDEX('判定表'!$D:$D,MATCH("E|データの利用範囲|"&amp;H80,'判定表'!$A:$A,0)),INDEX('判定表'!$D:$D,MATCH("E|環境|"&amp;I80,'判定表'!$A:$A,0)))+1,"低","中","高"),"判定表にない回答")))</f>
        <v/>
      </c>
      <c r="K80" s="17" t="n"/>
      <c r="L80" s="17" t="n"/>
      <c r="M80" s="22">
        <f>IF(A80="","",IF(OR(K80="",L80="",D80="",E80="",D80="未確認",E80="未確認"),"判定保留",IFERROR(IF(OR(D80="はい",E80="はい"),INDEX('判定表'!$D:$D,MATCH("L|"&amp;INDEX('判定表'!$D:$D,MATCH("D|"&amp;K80&amp;"|"&amp;L80,'判定表'!$A:$A,0)),'判定表'!$A:$A,0)),INDEX('判定表'!$D:$D,MATCH("D|"&amp;K80&amp;"|"&amp;L80,'判定表'!$A:$A,0))),"判定表にない組み合わせ")))</f>
        <v/>
      </c>
      <c r="N80" s="22">
        <f>IF(A80="","",IF(J80="判定保留","判定保留",IFERROR(INDEX('判定表'!$D:$D,MATCH("S|"&amp;J80,'判定表'!$A:$A,0)),"判定表にない回答")))</f>
        <v/>
      </c>
      <c r="O80" s="22">
        <f>IF(A80="","",IF(N80="留保","—",IF(OR(N80="判定保留",M80="判定保留"),"判定保留",IFERROR(INDEX('判定表'!$D:$D,MATCH("T|"&amp;J80&amp;"|"&amp;M80,'判定表'!$A:$A,0)),"判定表にない組み合わせ"))))</f>
        <v/>
      </c>
    </row>
    <row r="81">
      <c r="A81" s="17" t="n"/>
      <c r="B81" s="17" t="n"/>
      <c r="C81" s="17" t="n"/>
      <c r="D81" s="17" t="n"/>
      <c r="E81" s="17" t="n"/>
      <c r="F81" s="29" t="n"/>
      <c r="G81" s="17" t="n"/>
      <c r="H81" s="17" t="n"/>
      <c r="I81" s="17" t="n"/>
      <c r="J81" s="22">
        <f>IF(A81="","",IF(COUNTA(G81:I81)&lt;3,"判定保留",IFERROR(CHOOSE(MAX(INDEX('判定表'!$D:$D,MATCH("E|利用範囲|"&amp;G81,'判定表'!$A:$A,0)),INDEX('判定表'!$D:$D,MATCH("E|データの利用範囲|"&amp;H81,'判定表'!$A:$A,0)),INDEX('判定表'!$D:$D,MATCH("E|環境|"&amp;I81,'判定表'!$A:$A,0)))+1,"低","中","高"),"判定表にない回答")))</f>
        <v/>
      </c>
      <c r="K81" s="17" t="n"/>
      <c r="L81" s="17" t="n"/>
      <c r="M81" s="22">
        <f>IF(A81="","",IF(OR(K81="",L81="",D81="",E81="",D81="未確認",E81="未確認"),"判定保留",IFERROR(IF(OR(D81="はい",E81="はい"),INDEX('判定表'!$D:$D,MATCH("L|"&amp;INDEX('判定表'!$D:$D,MATCH("D|"&amp;K81&amp;"|"&amp;L81,'判定表'!$A:$A,0)),'判定表'!$A:$A,0)),INDEX('判定表'!$D:$D,MATCH("D|"&amp;K81&amp;"|"&amp;L81,'判定表'!$A:$A,0))),"判定表にない組み合わせ")))</f>
        <v/>
      </c>
      <c r="N81" s="22">
        <f>IF(A81="","",IF(J81="判定保留","判定保留",IFERROR(INDEX('判定表'!$D:$D,MATCH("S|"&amp;J81,'判定表'!$A:$A,0)),"判定表にない回答")))</f>
        <v/>
      </c>
      <c r="O81" s="22">
        <f>IF(A81="","",IF(N81="留保","—",IF(OR(N81="判定保留",M81="判定保留"),"判定保留",IFERROR(INDEX('判定表'!$D:$D,MATCH("T|"&amp;J81&amp;"|"&amp;M81,'判定表'!$A:$A,0)),"判定表にない組み合わせ"))))</f>
        <v/>
      </c>
    </row>
    <row r="82">
      <c r="A82" s="17" t="n"/>
      <c r="B82" s="17" t="n"/>
      <c r="C82" s="17" t="n"/>
      <c r="D82" s="17" t="n"/>
      <c r="E82" s="17" t="n"/>
      <c r="F82" s="29" t="n"/>
      <c r="G82" s="17" t="n"/>
      <c r="H82" s="17" t="n"/>
      <c r="I82" s="17" t="n"/>
      <c r="J82" s="22">
        <f>IF(A82="","",IF(COUNTA(G82:I82)&lt;3,"判定保留",IFERROR(CHOOSE(MAX(INDEX('判定表'!$D:$D,MATCH("E|利用範囲|"&amp;G82,'判定表'!$A:$A,0)),INDEX('判定表'!$D:$D,MATCH("E|データの利用範囲|"&amp;H82,'判定表'!$A:$A,0)),INDEX('判定表'!$D:$D,MATCH("E|環境|"&amp;I82,'判定表'!$A:$A,0)))+1,"低","中","高"),"判定表にない回答")))</f>
        <v/>
      </c>
      <c r="K82" s="17" t="n"/>
      <c r="L82" s="17" t="n"/>
      <c r="M82" s="22">
        <f>IF(A82="","",IF(OR(K82="",L82="",D82="",E82="",D82="未確認",E82="未確認"),"判定保留",IFERROR(IF(OR(D82="はい",E82="はい"),INDEX('判定表'!$D:$D,MATCH("L|"&amp;INDEX('判定表'!$D:$D,MATCH("D|"&amp;K82&amp;"|"&amp;L82,'判定表'!$A:$A,0)),'判定表'!$A:$A,0)),INDEX('判定表'!$D:$D,MATCH("D|"&amp;K82&amp;"|"&amp;L82,'判定表'!$A:$A,0))),"判定表にない組み合わせ")))</f>
        <v/>
      </c>
      <c r="N82" s="22">
        <f>IF(A82="","",IF(J82="判定保留","判定保留",IFERROR(INDEX('判定表'!$D:$D,MATCH("S|"&amp;J82,'判定表'!$A:$A,0)),"判定表にない回答")))</f>
        <v/>
      </c>
      <c r="O82" s="22">
        <f>IF(A82="","",IF(N82="留保","—",IF(OR(N82="判定保留",M82="判定保留"),"判定保留",IFERROR(INDEX('判定表'!$D:$D,MATCH("T|"&amp;J82&amp;"|"&amp;M82,'判定表'!$A:$A,0)),"判定表にない組み合わせ"))))</f>
        <v/>
      </c>
    </row>
    <row r="83">
      <c r="A83" s="17" t="n"/>
      <c r="B83" s="17" t="n"/>
      <c r="C83" s="17" t="n"/>
      <c r="D83" s="17" t="n"/>
      <c r="E83" s="17" t="n"/>
      <c r="F83" s="29" t="n"/>
      <c r="G83" s="17" t="n"/>
      <c r="H83" s="17" t="n"/>
      <c r="I83" s="17" t="n"/>
      <c r="J83" s="22">
        <f>IF(A83="","",IF(COUNTA(G83:I83)&lt;3,"判定保留",IFERROR(CHOOSE(MAX(INDEX('判定表'!$D:$D,MATCH("E|利用範囲|"&amp;G83,'判定表'!$A:$A,0)),INDEX('判定表'!$D:$D,MATCH("E|データの利用範囲|"&amp;H83,'判定表'!$A:$A,0)),INDEX('判定表'!$D:$D,MATCH("E|環境|"&amp;I83,'判定表'!$A:$A,0)))+1,"低","中","高"),"判定表にない回答")))</f>
        <v/>
      </c>
      <c r="K83" s="17" t="n"/>
      <c r="L83" s="17" t="n"/>
      <c r="M83" s="22">
        <f>IF(A83="","",IF(OR(K83="",L83="",D83="",E83="",D83="未確認",E83="未確認"),"判定保留",IFERROR(IF(OR(D83="はい",E83="はい"),INDEX('判定表'!$D:$D,MATCH("L|"&amp;INDEX('判定表'!$D:$D,MATCH("D|"&amp;K83&amp;"|"&amp;L83,'判定表'!$A:$A,0)),'判定表'!$A:$A,0)),INDEX('判定表'!$D:$D,MATCH("D|"&amp;K83&amp;"|"&amp;L83,'判定表'!$A:$A,0))),"判定表にない組み合わせ")))</f>
        <v/>
      </c>
      <c r="N83" s="22">
        <f>IF(A83="","",IF(J83="判定保留","判定保留",IFERROR(INDEX('判定表'!$D:$D,MATCH("S|"&amp;J83,'判定表'!$A:$A,0)),"判定表にない回答")))</f>
        <v/>
      </c>
      <c r="O83" s="22">
        <f>IF(A83="","",IF(N83="留保","—",IF(OR(N83="判定保留",M83="判定保留"),"判定保留",IFERROR(INDEX('判定表'!$D:$D,MATCH("T|"&amp;J83&amp;"|"&amp;M83,'判定表'!$A:$A,0)),"判定表にない組み合わせ"))))</f>
        <v/>
      </c>
    </row>
    <row r="84">
      <c r="A84" s="17" t="n"/>
      <c r="B84" s="17" t="n"/>
      <c r="C84" s="17" t="n"/>
      <c r="D84" s="17" t="n"/>
      <c r="E84" s="17" t="n"/>
      <c r="F84" s="29" t="n"/>
      <c r="G84" s="17" t="n"/>
      <c r="H84" s="17" t="n"/>
      <c r="I84" s="17" t="n"/>
      <c r="J84" s="22">
        <f>IF(A84="","",IF(COUNTA(G84:I84)&lt;3,"判定保留",IFERROR(CHOOSE(MAX(INDEX('判定表'!$D:$D,MATCH("E|利用範囲|"&amp;G84,'判定表'!$A:$A,0)),INDEX('判定表'!$D:$D,MATCH("E|データの利用範囲|"&amp;H84,'判定表'!$A:$A,0)),INDEX('判定表'!$D:$D,MATCH("E|環境|"&amp;I84,'判定表'!$A:$A,0)))+1,"低","中","高"),"判定表にない回答")))</f>
        <v/>
      </c>
      <c r="K84" s="17" t="n"/>
      <c r="L84" s="17" t="n"/>
      <c r="M84" s="22">
        <f>IF(A84="","",IF(OR(K84="",L84="",D84="",E84="",D84="未確認",E84="未確認"),"判定保留",IFERROR(IF(OR(D84="はい",E84="はい"),INDEX('判定表'!$D:$D,MATCH("L|"&amp;INDEX('判定表'!$D:$D,MATCH("D|"&amp;K84&amp;"|"&amp;L84,'判定表'!$A:$A,0)),'判定表'!$A:$A,0)),INDEX('判定表'!$D:$D,MATCH("D|"&amp;K84&amp;"|"&amp;L84,'判定表'!$A:$A,0))),"判定表にない組み合わせ")))</f>
        <v/>
      </c>
      <c r="N84" s="22">
        <f>IF(A84="","",IF(J84="判定保留","判定保留",IFERROR(INDEX('判定表'!$D:$D,MATCH("S|"&amp;J84,'判定表'!$A:$A,0)),"判定表にない回答")))</f>
        <v/>
      </c>
      <c r="O84" s="22">
        <f>IF(A84="","",IF(N84="留保","—",IF(OR(N84="判定保留",M84="判定保留"),"判定保留",IFERROR(INDEX('判定表'!$D:$D,MATCH("T|"&amp;J84&amp;"|"&amp;M84,'判定表'!$A:$A,0)),"判定表にない組み合わせ"))))</f>
        <v/>
      </c>
    </row>
    <row r="85">
      <c r="A85" s="17" t="n"/>
      <c r="B85" s="17" t="n"/>
      <c r="C85" s="17" t="n"/>
      <c r="D85" s="17" t="n"/>
      <c r="E85" s="17" t="n"/>
      <c r="F85" s="29" t="n"/>
      <c r="G85" s="17" t="n"/>
      <c r="H85" s="17" t="n"/>
      <c r="I85" s="17" t="n"/>
      <c r="J85" s="22">
        <f>IF(A85="","",IF(COUNTA(G85:I85)&lt;3,"判定保留",IFERROR(CHOOSE(MAX(INDEX('判定表'!$D:$D,MATCH("E|利用範囲|"&amp;G85,'判定表'!$A:$A,0)),INDEX('判定表'!$D:$D,MATCH("E|データの利用範囲|"&amp;H85,'判定表'!$A:$A,0)),INDEX('判定表'!$D:$D,MATCH("E|環境|"&amp;I85,'判定表'!$A:$A,0)))+1,"低","中","高"),"判定表にない回答")))</f>
        <v/>
      </c>
      <c r="K85" s="17" t="n"/>
      <c r="L85" s="17" t="n"/>
      <c r="M85" s="22">
        <f>IF(A85="","",IF(OR(K85="",L85="",D85="",E85="",D85="未確認",E85="未確認"),"判定保留",IFERROR(IF(OR(D85="はい",E85="はい"),INDEX('判定表'!$D:$D,MATCH("L|"&amp;INDEX('判定表'!$D:$D,MATCH("D|"&amp;K85&amp;"|"&amp;L85,'判定表'!$A:$A,0)),'判定表'!$A:$A,0)),INDEX('判定表'!$D:$D,MATCH("D|"&amp;K85&amp;"|"&amp;L85,'判定表'!$A:$A,0))),"判定表にない組み合わせ")))</f>
        <v/>
      </c>
      <c r="N85" s="22">
        <f>IF(A85="","",IF(J85="判定保留","判定保留",IFERROR(INDEX('判定表'!$D:$D,MATCH("S|"&amp;J85,'判定表'!$A:$A,0)),"判定表にない回答")))</f>
        <v/>
      </c>
      <c r="O85" s="22">
        <f>IF(A85="","",IF(N85="留保","—",IF(OR(N85="判定保留",M85="判定保留"),"判定保留",IFERROR(INDEX('判定表'!$D:$D,MATCH("T|"&amp;J85&amp;"|"&amp;M85,'判定表'!$A:$A,0)),"判定表にない組み合わせ"))))</f>
        <v/>
      </c>
    </row>
    <row r="86">
      <c r="A86" s="17" t="n"/>
      <c r="B86" s="17" t="n"/>
      <c r="C86" s="17" t="n"/>
      <c r="D86" s="17" t="n"/>
      <c r="E86" s="17" t="n"/>
      <c r="F86" s="29" t="n"/>
      <c r="G86" s="17" t="n"/>
      <c r="H86" s="17" t="n"/>
      <c r="I86" s="17" t="n"/>
      <c r="J86" s="22">
        <f>IF(A86="","",IF(COUNTA(G86:I86)&lt;3,"判定保留",IFERROR(CHOOSE(MAX(INDEX('判定表'!$D:$D,MATCH("E|利用範囲|"&amp;G86,'判定表'!$A:$A,0)),INDEX('判定表'!$D:$D,MATCH("E|データの利用範囲|"&amp;H86,'判定表'!$A:$A,0)),INDEX('判定表'!$D:$D,MATCH("E|環境|"&amp;I86,'判定表'!$A:$A,0)))+1,"低","中","高"),"判定表にない回答")))</f>
        <v/>
      </c>
      <c r="K86" s="17" t="n"/>
      <c r="L86" s="17" t="n"/>
      <c r="M86" s="22">
        <f>IF(A86="","",IF(OR(K86="",L86="",D86="",E86="",D86="未確認",E86="未確認"),"判定保留",IFERROR(IF(OR(D86="はい",E86="はい"),INDEX('判定表'!$D:$D,MATCH("L|"&amp;INDEX('判定表'!$D:$D,MATCH("D|"&amp;K86&amp;"|"&amp;L86,'判定表'!$A:$A,0)),'判定表'!$A:$A,0)),INDEX('判定表'!$D:$D,MATCH("D|"&amp;K86&amp;"|"&amp;L86,'判定表'!$A:$A,0))),"判定表にない組み合わせ")))</f>
        <v/>
      </c>
      <c r="N86" s="22">
        <f>IF(A86="","",IF(J86="判定保留","判定保留",IFERROR(INDEX('判定表'!$D:$D,MATCH("S|"&amp;J86,'判定表'!$A:$A,0)),"判定表にない回答")))</f>
        <v/>
      </c>
      <c r="O86" s="22">
        <f>IF(A86="","",IF(N86="留保","—",IF(OR(N86="判定保留",M86="判定保留"),"判定保留",IFERROR(INDEX('判定表'!$D:$D,MATCH("T|"&amp;J86&amp;"|"&amp;M86,'判定表'!$A:$A,0)),"判定表にない組み合わせ"))))</f>
        <v/>
      </c>
    </row>
    <row r="87">
      <c r="A87" s="17" t="n"/>
      <c r="B87" s="17" t="n"/>
      <c r="C87" s="17" t="n"/>
      <c r="D87" s="17" t="n"/>
      <c r="E87" s="17" t="n"/>
      <c r="F87" s="29" t="n"/>
      <c r="G87" s="17" t="n"/>
      <c r="H87" s="17" t="n"/>
      <c r="I87" s="17" t="n"/>
      <c r="J87" s="22">
        <f>IF(A87="","",IF(COUNTA(G87:I87)&lt;3,"判定保留",IFERROR(CHOOSE(MAX(INDEX('判定表'!$D:$D,MATCH("E|利用範囲|"&amp;G87,'判定表'!$A:$A,0)),INDEX('判定表'!$D:$D,MATCH("E|データの利用範囲|"&amp;H87,'判定表'!$A:$A,0)),INDEX('判定表'!$D:$D,MATCH("E|環境|"&amp;I87,'判定表'!$A:$A,0)))+1,"低","中","高"),"判定表にない回答")))</f>
        <v/>
      </c>
      <c r="K87" s="17" t="n"/>
      <c r="L87" s="17" t="n"/>
      <c r="M87" s="22">
        <f>IF(A87="","",IF(OR(K87="",L87="",D87="",E87="",D87="未確認",E87="未確認"),"判定保留",IFERROR(IF(OR(D87="はい",E87="はい"),INDEX('判定表'!$D:$D,MATCH("L|"&amp;INDEX('判定表'!$D:$D,MATCH("D|"&amp;K87&amp;"|"&amp;L87,'判定表'!$A:$A,0)),'判定表'!$A:$A,0)),INDEX('判定表'!$D:$D,MATCH("D|"&amp;K87&amp;"|"&amp;L87,'判定表'!$A:$A,0))),"判定表にない組み合わせ")))</f>
        <v/>
      </c>
      <c r="N87" s="22">
        <f>IF(A87="","",IF(J87="判定保留","判定保留",IFERROR(INDEX('判定表'!$D:$D,MATCH("S|"&amp;J87,'判定表'!$A:$A,0)),"判定表にない回答")))</f>
        <v/>
      </c>
      <c r="O87" s="22">
        <f>IF(A87="","",IF(N87="留保","—",IF(OR(N87="判定保留",M87="判定保留"),"判定保留",IFERROR(INDEX('判定表'!$D:$D,MATCH("T|"&amp;J87&amp;"|"&amp;M87,'判定表'!$A:$A,0)),"判定表にない組み合わせ"))))</f>
        <v/>
      </c>
    </row>
    <row r="88">
      <c r="A88" s="17" t="n"/>
      <c r="B88" s="17" t="n"/>
      <c r="C88" s="17" t="n"/>
      <c r="D88" s="17" t="n"/>
      <c r="E88" s="17" t="n"/>
      <c r="F88" s="29" t="n"/>
      <c r="G88" s="17" t="n"/>
      <c r="H88" s="17" t="n"/>
      <c r="I88" s="17" t="n"/>
      <c r="J88" s="22">
        <f>IF(A88="","",IF(COUNTA(G88:I88)&lt;3,"判定保留",IFERROR(CHOOSE(MAX(INDEX('判定表'!$D:$D,MATCH("E|利用範囲|"&amp;G88,'判定表'!$A:$A,0)),INDEX('判定表'!$D:$D,MATCH("E|データの利用範囲|"&amp;H88,'判定表'!$A:$A,0)),INDEX('判定表'!$D:$D,MATCH("E|環境|"&amp;I88,'判定表'!$A:$A,0)))+1,"低","中","高"),"判定表にない回答")))</f>
        <v/>
      </c>
      <c r="K88" s="17" t="n"/>
      <c r="L88" s="17" t="n"/>
      <c r="M88" s="22">
        <f>IF(A88="","",IF(OR(K88="",L88="",D88="",E88="",D88="未確認",E88="未確認"),"判定保留",IFERROR(IF(OR(D88="はい",E88="はい"),INDEX('判定表'!$D:$D,MATCH("L|"&amp;INDEX('判定表'!$D:$D,MATCH("D|"&amp;K88&amp;"|"&amp;L88,'判定表'!$A:$A,0)),'判定表'!$A:$A,0)),INDEX('判定表'!$D:$D,MATCH("D|"&amp;K88&amp;"|"&amp;L88,'判定表'!$A:$A,0))),"判定表にない組み合わせ")))</f>
        <v/>
      </c>
      <c r="N88" s="22">
        <f>IF(A88="","",IF(J88="判定保留","判定保留",IFERROR(INDEX('判定表'!$D:$D,MATCH("S|"&amp;J88,'判定表'!$A:$A,0)),"判定表にない回答")))</f>
        <v/>
      </c>
      <c r="O88" s="22">
        <f>IF(A88="","",IF(N88="留保","—",IF(OR(N88="判定保留",M88="判定保留"),"判定保留",IFERROR(INDEX('判定表'!$D:$D,MATCH("T|"&amp;J88&amp;"|"&amp;M88,'判定表'!$A:$A,0)),"判定表にない組み合わせ"))))</f>
        <v/>
      </c>
    </row>
    <row r="89">
      <c r="A89" s="17" t="n"/>
      <c r="B89" s="17" t="n"/>
      <c r="C89" s="17" t="n"/>
      <c r="D89" s="17" t="n"/>
      <c r="E89" s="17" t="n"/>
      <c r="F89" s="29" t="n"/>
      <c r="G89" s="17" t="n"/>
      <c r="H89" s="17" t="n"/>
      <c r="I89" s="17" t="n"/>
      <c r="J89" s="22">
        <f>IF(A89="","",IF(COUNTA(G89:I89)&lt;3,"判定保留",IFERROR(CHOOSE(MAX(INDEX('判定表'!$D:$D,MATCH("E|利用範囲|"&amp;G89,'判定表'!$A:$A,0)),INDEX('判定表'!$D:$D,MATCH("E|データの利用範囲|"&amp;H89,'判定表'!$A:$A,0)),INDEX('判定表'!$D:$D,MATCH("E|環境|"&amp;I89,'判定表'!$A:$A,0)))+1,"低","中","高"),"判定表にない回答")))</f>
        <v/>
      </c>
      <c r="K89" s="17" t="n"/>
      <c r="L89" s="17" t="n"/>
      <c r="M89" s="22">
        <f>IF(A89="","",IF(OR(K89="",L89="",D89="",E89="",D89="未確認",E89="未確認"),"判定保留",IFERROR(IF(OR(D89="はい",E89="はい"),INDEX('判定表'!$D:$D,MATCH("L|"&amp;INDEX('判定表'!$D:$D,MATCH("D|"&amp;K89&amp;"|"&amp;L89,'判定表'!$A:$A,0)),'判定表'!$A:$A,0)),INDEX('判定表'!$D:$D,MATCH("D|"&amp;K89&amp;"|"&amp;L89,'判定表'!$A:$A,0))),"判定表にない組み合わせ")))</f>
        <v/>
      </c>
      <c r="N89" s="22">
        <f>IF(A89="","",IF(J89="判定保留","判定保留",IFERROR(INDEX('判定表'!$D:$D,MATCH("S|"&amp;J89,'判定表'!$A:$A,0)),"判定表にない回答")))</f>
        <v/>
      </c>
      <c r="O89" s="22">
        <f>IF(A89="","",IF(N89="留保","—",IF(OR(N89="判定保留",M89="判定保留"),"判定保留",IFERROR(INDEX('判定表'!$D:$D,MATCH("T|"&amp;J89&amp;"|"&amp;M89,'判定表'!$A:$A,0)),"判定表にない組み合わせ"))))</f>
        <v/>
      </c>
    </row>
    <row r="90">
      <c r="A90" s="17" t="n"/>
      <c r="B90" s="17" t="n"/>
      <c r="C90" s="17" t="n"/>
      <c r="D90" s="17" t="n"/>
      <c r="E90" s="17" t="n"/>
      <c r="F90" s="29" t="n"/>
      <c r="G90" s="17" t="n"/>
      <c r="H90" s="17" t="n"/>
      <c r="I90" s="17" t="n"/>
      <c r="J90" s="22">
        <f>IF(A90="","",IF(COUNTA(G90:I90)&lt;3,"判定保留",IFERROR(CHOOSE(MAX(INDEX('判定表'!$D:$D,MATCH("E|利用範囲|"&amp;G90,'判定表'!$A:$A,0)),INDEX('判定表'!$D:$D,MATCH("E|データの利用範囲|"&amp;H90,'判定表'!$A:$A,0)),INDEX('判定表'!$D:$D,MATCH("E|環境|"&amp;I90,'判定表'!$A:$A,0)))+1,"低","中","高"),"判定表にない回答")))</f>
        <v/>
      </c>
      <c r="K90" s="17" t="n"/>
      <c r="L90" s="17" t="n"/>
      <c r="M90" s="22">
        <f>IF(A90="","",IF(OR(K90="",L90="",D90="",E90="",D90="未確認",E90="未確認"),"判定保留",IFERROR(IF(OR(D90="はい",E90="はい"),INDEX('判定表'!$D:$D,MATCH("L|"&amp;INDEX('判定表'!$D:$D,MATCH("D|"&amp;K90&amp;"|"&amp;L90,'判定表'!$A:$A,0)),'判定表'!$A:$A,0)),INDEX('判定表'!$D:$D,MATCH("D|"&amp;K90&amp;"|"&amp;L90,'判定表'!$A:$A,0))),"判定表にない組み合わせ")))</f>
        <v/>
      </c>
      <c r="N90" s="22">
        <f>IF(A90="","",IF(J90="判定保留","判定保留",IFERROR(INDEX('判定表'!$D:$D,MATCH("S|"&amp;J90,'判定表'!$A:$A,0)),"判定表にない回答")))</f>
        <v/>
      </c>
      <c r="O90" s="22">
        <f>IF(A90="","",IF(N90="留保","—",IF(OR(N90="判定保留",M90="判定保留"),"判定保留",IFERROR(INDEX('判定表'!$D:$D,MATCH("T|"&amp;J90&amp;"|"&amp;M90,'判定表'!$A:$A,0)),"判定表にない組み合わせ"))))</f>
        <v/>
      </c>
    </row>
    <row r="91">
      <c r="A91" s="17" t="n"/>
      <c r="B91" s="17" t="n"/>
      <c r="C91" s="17" t="n"/>
      <c r="D91" s="17" t="n"/>
      <c r="E91" s="17" t="n"/>
      <c r="F91" s="29" t="n"/>
      <c r="G91" s="17" t="n"/>
      <c r="H91" s="17" t="n"/>
      <c r="I91" s="17" t="n"/>
      <c r="J91" s="22">
        <f>IF(A91="","",IF(COUNTA(G91:I91)&lt;3,"判定保留",IFERROR(CHOOSE(MAX(INDEX('判定表'!$D:$D,MATCH("E|利用範囲|"&amp;G91,'判定表'!$A:$A,0)),INDEX('判定表'!$D:$D,MATCH("E|データの利用範囲|"&amp;H91,'判定表'!$A:$A,0)),INDEX('判定表'!$D:$D,MATCH("E|環境|"&amp;I91,'判定表'!$A:$A,0)))+1,"低","中","高"),"判定表にない回答")))</f>
        <v/>
      </c>
      <c r="K91" s="17" t="n"/>
      <c r="L91" s="17" t="n"/>
      <c r="M91" s="22">
        <f>IF(A91="","",IF(OR(K91="",L91="",D91="",E91="",D91="未確認",E91="未確認"),"判定保留",IFERROR(IF(OR(D91="はい",E91="はい"),INDEX('判定表'!$D:$D,MATCH("L|"&amp;INDEX('判定表'!$D:$D,MATCH("D|"&amp;K91&amp;"|"&amp;L91,'判定表'!$A:$A,0)),'判定表'!$A:$A,0)),INDEX('判定表'!$D:$D,MATCH("D|"&amp;K91&amp;"|"&amp;L91,'判定表'!$A:$A,0))),"判定表にない組み合わせ")))</f>
        <v/>
      </c>
      <c r="N91" s="22">
        <f>IF(A91="","",IF(J91="判定保留","判定保留",IFERROR(INDEX('判定表'!$D:$D,MATCH("S|"&amp;J91,'判定表'!$A:$A,0)),"判定表にない回答")))</f>
        <v/>
      </c>
      <c r="O91" s="22">
        <f>IF(A91="","",IF(N91="留保","—",IF(OR(N91="判定保留",M91="判定保留"),"判定保留",IFERROR(INDEX('判定表'!$D:$D,MATCH("T|"&amp;J91&amp;"|"&amp;M91,'判定表'!$A:$A,0)),"判定表にない組み合わせ"))))</f>
        <v/>
      </c>
    </row>
    <row r="92">
      <c r="A92" s="17" t="n"/>
      <c r="B92" s="17" t="n"/>
      <c r="C92" s="17" t="n"/>
      <c r="D92" s="17" t="n"/>
      <c r="E92" s="17" t="n"/>
      <c r="F92" s="29" t="n"/>
      <c r="G92" s="17" t="n"/>
      <c r="H92" s="17" t="n"/>
      <c r="I92" s="17" t="n"/>
      <c r="J92" s="22">
        <f>IF(A92="","",IF(COUNTA(G92:I92)&lt;3,"判定保留",IFERROR(CHOOSE(MAX(INDEX('判定表'!$D:$D,MATCH("E|利用範囲|"&amp;G92,'判定表'!$A:$A,0)),INDEX('判定表'!$D:$D,MATCH("E|データの利用範囲|"&amp;H92,'判定表'!$A:$A,0)),INDEX('判定表'!$D:$D,MATCH("E|環境|"&amp;I92,'判定表'!$A:$A,0)))+1,"低","中","高"),"判定表にない回答")))</f>
        <v/>
      </c>
      <c r="K92" s="17" t="n"/>
      <c r="L92" s="17" t="n"/>
      <c r="M92" s="22">
        <f>IF(A92="","",IF(OR(K92="",L92="",D92="",E92="",D92="未確認",E92="未確認"),"判定保留",IFERROR(IF(OR(D92="はい",E92="はい"),INDEX('判定表'!$D:$D,MATCH("L|"&amp;INDEX('判定表'!$D:$D,MATCH("D|"&amp;K92&amp;"|"&amp;L92,'判定表'!$A:$A,0)),'判定表'!$A:$A,0)),INDEX('判定表'!$D:$D,MATCH("D|"&amp;K92&amp;"|"&amp;L92,'判定表'!$A:$A,0))),"判定表にない組み合わせ")))</f>
        <v/>
      </c>
      <c r="N92" s="22">
        <f>IF(A92="","",IF(J92="判定保留","判定保留",IFERROR(INDEX('判定表'!$D:$D,MATCH("S|"&amp;J92,'判定表'!$A:$A,0)),"判定表にない回答")))</f>
        <v/>
      </c>
      <c r="O92" s="22">
        <f>IF(A92="","",IF(N92="留保","—",IF(OR(N92="判定保留",M92="判定保留"),"判定保留",IFERROR(INDEX('判定表'!$D:$D,MATCH("T|"&amp;J92&amp;"|"&amp;M92,'判定表'!$A:$A,0)),"判定表にない組み合わせ"))))</f>
        <v/>
      </c>
    </row>
    <row r="93">
      <c r="A93" s="17" t="n"/>
      <c r="B93" s="17" t="n"/>
      <c r="C93" s="17" t="n"/>
      <c r="D93" s="17" t="n"/>
      <c r="E93" s="17" t="n"/>
      <c r="F93" s="29" t="n"/>
      <c r="G93" s="17" t="n"/>
      <c r="H93" s="17" t="n"/>
      <c r="I93" s="17" t="n"/>
      <c r="J93" s="22">
        <f>IF(A93="","",IF(COUNTA(G93:I93)&lt;3,"判定保留",IFERROR(CHOOSE(MAX(INDEX('判定表'!$D:$D,MATCH("E|利用範囲|"&amp;G93,'判定表'!$A:$A,0)),INDEX('判定表'!$D:$D,MATCH("E|データの利用範囲|"&amp;H93,'判定表'!$A:$A,0)),INDEX('判定表'!$D:$D,MATCH("E|環境|"&amp;I93,'判定表'!$A:$A,0)))+1,"低","中","高"),"判定表にない回答")))</f>
        <v/>
      </c>
      <c r="K93" s="17" t="n"/>
      <c r="L93" s="17" t="n"/>
      <c r="M93" s="22">
        <f>IF(A93="","",IF(OR(K93="",L93="",D93="",E93="",D93="未確認",E93="未確認"),"判定保留",IFERROR(IF(OR(D93="はい",E93="はい"),INDEX('判定表'!$D:$D,MATCH("L|"&amp;INDEX('判定表'!$D:$D,MATCH("D|"&amp;K93&amp;"|"&amp;L93,'判定表'!$A:$A,0)),'判定表'!$A:$A,0)),INDEX('判定表'!$D:$D,MATCH("D|"&amp;K93&amp;"|"&amp;L93,'判定表'!$A:$A,0))),"判定表にない組み合わせ")))</f>
        <v/>
      </c>
      <c r="N93" s="22">
        <f>IF(A93="","",IF(J93="判定保留","判定保留",IFERROR(INDEX('判定表'!$D:$D,MATCH("S|"&amp;J93,'判定表'!$A:$A,0)),"判定表にない回答")))</f>
        <v/>
      </c>
      <c r="O93" s="22">
        <f>IF(A93="","",IF(N93="留保","—",IF(OR(N93="判定保留",M93="判定保留"),"判定保留",IFERROR(INDEX('判定表'!$D:$D,MATCH("T|"&amp;J93&amp;"|"&amp;M93,'判定表'!$A:$A,0)),"判定表にない組み合わせ"))))</f>
        <v/>
      </c>
    </row>
    <row r="94">
      <c r="A94" s="17" t="n"/>
      <c r="B94" s="17" t="n"/>
      <c r="C94" s="17" t="n"/>
      <c r="D94" s="17" t="n"/>
      <c r="E94" s="17" t="n"/>
      <c r="F94" s="29" t="n"/>
      <c r="G94" s="17" t="n"/>
      <c r="H94" s="17" t="n"/>
      <c r="I94" s="17" t="n"/>
      <c r="J94" s="22">
        <f>IF(A94="","",IF(COUNTA(G94:I94)&lt;3,"判定保留",IFERROR(CHOOSE(MAX(INDEX('判定表'!$D:$D,MATCH("E|利用範囲|"&amp;G94,'判定表'!$A:$A,0)),INDEX('判定表'!$D:$D,MATCH("E|データの利用範囲|"&amp;H94,'判定表'!$A:$A,0)),INDEX('判定表'!$D:$D,MATCH("E|環境|"&amp;I94,'判定表'!$A:$A,0)))+1,"低","中","高"),"判定表にない回答")))</f>
        <v/>
      </c>
      <c r="K94" s="17" t="n"/>
      <c r="L94" s="17" t="n"/>
      <c r="M94" s="22">
        <f>IF(A94="","",IF(OR(K94="",L94="",D94="",E94="",D94="未確認",E94="未確認"),"判定保留",IFERROR(IF(OR(D94="はい",E94="はい"),INDEX('判定表'!$D:$D,MATCH("L|"&amp;INDEX('判定表'!$D:$D,MATCH("D|"&amp;K94&amp;"|"&amp;L94,'判定表'!$A:$A,0)),'判定表'!$A:$A,0)),INDEX('判定表'!$D:$D,MATCH("D|"&amp;K94&amp;"|"&amp;L94,'判定表'!$A:$A,0))),"判定表にない組み合わせ")))</f>
        <v/>
      </c>
      <c r="N94" s="22">
        <f>IF(A94="","",IF(J94="判定保留","判定保留",IFERROR(INDEX('判定表'!$D:$D,MATCH("S|"&amp;J94,'判定表'!$A:$A,0)),"判定表にない回答")))</f>
        <v/>
      </c>
      <c r="O94" s="22">
        <f>IF(A94="","",IF(N94="留保","—",IF(OR(N94="判定保留",M94="判定保留"),"判定保留",IFERROR(INDEX('判定表'!$D:$D,MATCH("T|"&amp;J94&amp;"|"&amp;M94,'判定表'!$A:$A,0)),"判定表にない組み合わせ"))))</f>
        <v/>
      </c>
    </row>
    <row r="95">
      <c r="A95" s="17" t="n"/>
      <c r="B95" s="17" t="n"/>
      <c r="C95" s="17" t="n"/>
      <c r="D95" s="17" t="n"/>
      <c r="E95" s="17" t="n"/>
      <c r="F95" s="29" t="n"/>
      <c r="G95" s="17" t="n"/>
      <c r="H95" s="17" t="n"/>
      <c r="I95" s="17" t="n"/>
      <c r="J95" s="22">
        <f>IF(A95="","",IF(COUNTA(G95:I95)&lt;3,"判定保留",IFERROR(CHOOSE(MAX(INDEX('判定表'!$D:$D,MATCH("E|利用範囲|"&amp;G95,'判定表'!$A:$A,0)),INDEX('判定表'!$D:$D,MATCH("E|データの利用範囲|"&amp;H95,'判定表'!$A:$A,0)),INDEX('判定表'!$D:$D,MATCH("E|環境|"&amp;I95,'判定表'!$A:$A,0)))+1,"低","中","高"),"判定表にない回答")))</f>
        <v/>
      </c>
      <c r="K95" s="17" t="n"/>
      <c r="L95" s="17" t="n"/>
      <c r="M95" s="22">
        <f>IF(A95="","",IF(OR(K95="",L95="",D95="",E95="",D95="未確認",E95="未確認"),"判定保留",IFERROR(IF(OR(D95="はい",E95="はい"),INDEX('判定表'!$D:$D,MATCH("L|"&amp;INDEX('判定表'!$D:$D,MATCH("D|"&amp;K95&amp;"|"&amp;L95,'判定表'!$A:$A,0)),'判定表'!$A:$A,0)),INDEX('判定表'!$D:$D,MATCH("D|"&amp;K95&amp;"|"&amp;L95,'判定表'!$A:$A,0))),"判定表にない組み合わせ")))</f>
        <v/>
      </c>
      <c r="N95" s="22">
        <f>IF(A95="","",IF(J95="判定保留","判定保留",IFERROR(INDEX('判定表'!$D:$D,MATCH("S|"&amp;J95,'判定表'!$A:$A,0)),"判定表にない回答")))</f>
        <v/>
      </c>
      <c r="O95" s="22">
        <f>IF(A95="","",IF(N95="留保","—",IF(OR(N95="判定保留",M95="判定保留"),"判定保留",IFERROR(INDEX('判定表'!$D:$D,MATCH("T|"&amp;J95&amp;"|"&amp;M95,'判定表'!$A:$A,0)),"判定表にない組み合わせ"))))</f>
        <v/>
      </c>
    </row>
    <row r="96">
      <c r="A96" s="17" t="n"/>
      <c r="B96" s="17" t="n"/>
      <c r="C96" s="17" t="n"/>
      <c r="D96" s="17" t="n"/>
      <c r="E96" s="17" t="n"/>
      <c r="F96" s="29" t="n"/>
      <c r="G96" s="17" t="n"/>
      <c r="H96" s="17" t="n"/>
      <c r="I96" s="17" t="n"/>
      <c r="J96" s="22">
        <f>IF(A96="","",IF(COUNTA(G96:I96)&lt;3,"判定保留",IFERROR(CHOOSE(MAX(INDEX('判定表'!$D:$D,MATCH("E|利用範囲|"&amp;G96,'判定表'!$A:$A,0)),INDEX('判定表'!$D:$D,MATCH("E|データの利用範囲|"&amp;H96,'判定表'!$A:$A,0)),INDEX('判定表'!$D:$D,MATCH("E|環境|"&amp;I96,'判定表'!$A:$A,0)))+1,"低","中","高"),"判定表にない回答")))</f>
        <v/>
      </c>
      <c r="K96" s="17" t="n"/>
      <c r="L96" s="17" t="n"/>
      <c r="M96" s="22">
        <f>IF(A96="","",IF(OR(K96="",L96="",D96="",E96="",D96="未確認",E96="未確認"),"判定保留",IFERROR(IF(OR(D96="はい",E96="はい"),INDEX('判定表'!$D:$D,MATCH("L|"&amp;INDEX('判定表'!$D:$D,MATCH("D|"&amp;K96&amp;"|"&amp;L96,'判定表'!$A:$A,0)),'判定表'!$A:$A,0)),INDEX('判定表'!$D:$D,MATCH("D|"&amp;K96&amp;"|"&amp;L96,'判定表'!$A:$A,0))),"判定表にない組み合わせ")))</f>
        <v/>
      </c>
      <c r="N96" s="22">
        <f>IF(A96="","",IF(J96="判定保留","判定保留",IFERROR(INDEX('判定表'!$D:$D,MATCH("S|"&amp;J96,'判定表'!$A:$A,0)),"判定表にない回答")))</f>
        <v/>
      </c>
      <c r="O96" s="22">
        <f>IF(A96="","",IF(N96="留保","—",IF(OR(N96="判定保留",M96="判定保留"),"判定保留",IFERROR(INDEX('判定表'!$D:$D,MATCH("T|"&amp;J96&amp;"|"&amp;M96,'判定表'!$A:$A,0)),"判定表にない組み合わせ"))))</f>
        <v/>
      </c>
    </row>
    <row r="97">
      <c r="A97" s="17" t="n"/>
      <c r="B97" s="17" t="n"/>
      <c r="C97" s="17" t="n"/>
      <c r="D97" s="17" t="n"/>
      <c r="E97" s="17" t="n"/>
      <c r="F97" s="29" t="n"/>
      <c r="G97" s="17" t="n"/>
      <c r="H97" s="17" t="n"/>
      <c r="I97" s="17" t="n"/>
      <c r="J97" s="22">
        <f>IF(A97="","",IF(COUNTA(G97:I97)&lt;3,"判定保留",IFERROR(CHOOSE(MAX(INDEX('判定表'!$D:$D,MATCH("E|利用範囲|"&amp;G97,'判定表'!$A:$A,0)),INDEX('判定表'!$D:$D,MATCH("E|データの利用範囲|"&amp;H97,'判定表'!$A:$A,0)),INDEX('判定表'!$D:$D,MATCH("E|環境|"&amp;I97,'判定表'!$A:$A,0)))+1,"低","中","高"),"判定表にない回答")))</f>
        <v/>
      </c>
      <c r="K97" s="17" t="n"/>
      <c r="L97" s="17" t="n"/>
      <c r="M97" s="22">
        <f>IF(A97="","",IF(OR(K97="",L97="",D97="",E97="",D97="未確認",E97="未確認"),"判定保留",IFERROR(IF(OR(D97="はい",E97="はい"),INDEX('判定表'!$D:$D,MATCH("L|"&amp;INDEX('判定表'!$D:$D,MATCH("D|"&amp;K97&amp;"|"&amp;L97,'判定表'!$A:$A,0)),'判定表'!$A:$A,0)),INDEX('判定表'!$D:$D,MATCH("D|"&amp;K97&amp;"|"&amp;L97,'判定表'!$A:$A,0))),"判定表にない組み合わせ")))</f>
        <v/>
      </c>
      <c r="N97" s="22">
        <f>IF(A97="","",IF(J97="判定保留","判定保留",IFERROR(INDEX('判定表'!$D:$D,MATCH("S|"&amp;J97,'判定表'!$A:$A,0)),"判定表にない回答")))</f>
        <v/>
      </c>
      <c r="O97" s="22">
        <f>IF(A97="","",IF(N97="留保","—",IF(OR(N97="判定保留",M97="判定保留"),"判定保留",IFERROR(INDEX('判定表'!$D:$D,MATCH("T|"&amp;J97&amp;"|"&amp;M97,'判定表'!$A:$A,0)),"判定表にない組み合わせ"))))</f>
        <v/>
      </c>
    </row>
    <row r="98">
      <c r="A98" s="17" t="n"/>
      <c r="B98" s="17" t="n"/>
      <c r="C98" s="17" t="n"/>
      <c r="D98" s="17" t="n"/>
      <c r="E98" s="17" t="n"/>
      <c r="F98" s="29" t="n"/>
      <c r="G98" s="17" t="n"/>
      <c r="H98" s="17" t="n"/>
      <c r="I98" s="17" t="n"/>
      <c r="J98" s="22">
        <f>IF(A98="","",IF(COUNTA(G98:I98)&lt;3,"判定保留",IFERROR(CHOOSE(MAX(INDEX('判定表'!$D:$D,MATCH("E|利用範囲|"&amp;G98,'判定表'!$A:$A,0)),INDEX('判定表'!$D:$D,MATCH("E|データの利用範囲|"&amp;H98,'判定表'!$A:$A,0)),INDEX('判定表'!$D:$D,MATCH("E|環境|"&amp;I98,'判定表'!$A:$A,0)))+1,"低","中","高"),"判定表にない回答")))</f>
        <v/>
      </c>
      <c r="K98" s="17" t="n"/>
      <c r="L98" s="17" t="n"/>
      <c r="M98" s="22">
        <f>IF(A98="","",IF(OR(K98="",L98="",D98="",E98="",D98="未確認",E98="未確認"),"判定保留",IFERROR(IF(OR(D98="はい",E98="はい"),INDEX('判定表'!$D:$D,MATCH("L|"&amp;INDEX('判定表'!$D:$D,MATCH("D|"&amp;K98&amp;"|"&amp;L98,'判定表'!$A:$A,0)),'判定表'!$A:$A,0)),INDEX('判定表'!$D:$D,MATCH("D|"&amp;K98&amp;"|"&amp;L98,'判定表'!$A:$A,0))),"判定表にない組み合わせ")))</f>
        <v/>
      </c>
      <c r="N98" s="22">
        <f>IF(A98="","",IF(J98="判定保留","判定保留",IFERROR(INDEX('判定表'!$D:$D,MATCH("S|"&amp;J98,'判定表'!$A:$A,0)),"判定表にない回答")))</f>
        <v/>
      </c>
      <c r="O98" s="22">
        <f>IF(A98="","",IF(N98="留保","—",IF(OR(N98="判定保留",M98="判定保留"),"判定保留",IFERROR(INDEX('判定表'!$D:$D,MATCH("T|"&amp;J98&amp;"|"&amp;M98,'判定表'!$A:$A,0)),"判定表にない組み合わせ"))))</f>
        <v/>
      </c>
    </row>
    <row r="99">
      <c r="A99" s="17" t="n"/>
      <c r="B99" s="17" t="n"/>
      <c r="C99" s="17" t="n"/>
      <c r="D99" s="17" t="n"/>
      <c r="E99" s="17" t="n"/>
      <c r="F99" s="29" t="n"/>
      <c r="G99" s="17" t="n"/>
      <c r="H99" s="17" t="n"/>
      <c r="I99" s="17" t="n"/>
      <c r="J99" s="22">
        <f>IF(A99="","",IF(COUNTA(G99:I99)&lt;3,"判定保留",IFERROR(CHOOSE(MAX(INDEX('判定表'!$D:$D,MATCH("E|利用範囲|"&amp;G99,'判定表'!$A:$A,0)),INDEX('判定表'!$D:$D,MATCH("E|データの利用範囲|"&amp;H99,'判定表'!$A:$A,0)),INDEX('判定表'!$D:$D,MATCH("E|環境|"&amp;I99,'判定表'!$A:$A,0)))+1,"低","中","高"),"判定表にない回答")))</f>
        <v/>
      </c>
      <c r="K99" s="17" t="n"/>
      <c r="L99" s="17" t="n"/>
      <c r="M99" s="22">
        <f>IF(A99="","",IF(OR(K99="",L99="",D99="",E99="",D99="未確認",E99="未確認"),"判定保留",IFERROR(IF(OR(D99="はい",E99="はい"),INDEX('判定表'!$D:$D,MATCH("L|"&amp;INDEX('判定表'!$D:$D,MATCH("D|"&amp;K99&amp;"|"&amp;L99,'判定表'!$A:$A,0)),'判定表'!$A:$A,0)),INDEX('判定表'!$D:$D,MATCH("D|"&amp;K99&amp;"|"&amp;L99,'判定表'!$A:$A,0))),"判定表にない組み合わせ")))</f>
        <v/>
      </c>
      <c r="N99" s="22">
        <f>IF(A99="","",IF(J99="判定保留","判定保留",IFERROR(INDEX('判定表'!$D:$D,MATCH("S|"&amp;J99,'判定表'!$A:$A,0)),"判定表にない回答")))</f>
        <v/>
      </c>
      <c r="O99" s="22">
        <f>IF(A99="","",IF(N99="留保","—",IF(OR(N99="判定保留",M99="判定保留"),"判定保留",IFERROR(INDEX('判定表'!$D:$D,MATCH("T|"&amp;J99&amp;"|"&amp;M99,'判定表'!$A:$A,0)),"判定表にない組み合わせ"))))</f>
        <v/>
      </c>
    </row>
    <row r="100">
      <c r="A100" s="17" t="n"/>
      <c r="B100" s="17" t="n"/>
      <c r="C100" s="17" t="n"/>
      <c r="D100" s="17" t="n"/>
      <c r="E100" s="17" t="n"/>
      <c r="F100" s="29" t="n"/>
      <c r="G100" s="17" t="n"/>
      <c r="H100" s="17" t="n"/>
      <c r="I100" s="17" t="n"/>
      <c r="J100" s="22">
        <f>IF(A100="","",IF(COUNTA(G100:I100)&lt;3,"判定保留",IFERROR(CHOOSE(MAX(INDEX('判定表'!$D:$D,MATCH("E|利用範囲|"&amp;G100,'判定表'!$A:$A,0)),INDEX('判定表'!$D:$D,MATCH("E|データの利用範囲|"&amp;H100,'判定表'!$A:$A,0)),INDEX('判定表'!$D:$D,MATCH("E|環境|"&amp;I100,'判定表'!$A:$A,0)))+1,"低","中","高"),"判定表にない回答")))</f>
        <v/>
      </c>
      <c r="K100" s="17" t="n"/>
      <c r="L100" s="17" t="n"/>
      <c r="M100" s="22">
        <f>IF(A100="","",IF(OR(K100="",L100="",D100="",E100="",D100="未確認",E100="未確認"),"判定保留",IFERROR(IF(OR(D100="はい",E100="はい"),INDEX('判定表'!$D:$D,MATCH("L|"&amp;INDEX('判定表'!$D:$D,MATCH("D|"&amp;K100&amp;"|"&amp;L100,'判定表'!$A:$A,0)),'判定表'!$A:$A,0)),INDEX('判定表'!$D:$D,MATCH("D|"&amp;K100&amp;"|"&amp;L100,'判定表'!$A:$A,0))),"判定表にない組み合わせ")))</f>
        <v/>
      </c>
      <c r="N100" s="22">
        <f>IF(A100="","",IF(J100="判定保留","判定保留",IFERROR(INDEX('判定表'!$D:$D,MATCH("S|"&amp;J100,'判定表'!$A:$A,0)),"判定表にない回答")))</f>
        <v/>
      </c>
      <c r="O100" s="22">
        <f>IF(A100="","",IF(N100="留保","—",IF(OR(N100="判定保留",M100="判定保留"),"判定保留",IFERROR(INDEX('判定表'!$D:$D,MATCH("T|"&amp;J100&amp;"|"&amp;M100,'判定表'!$A:$A,0)),"判定表にない組み合わせ"))))</f>
        <v/>
      </c>
    </row>
    <row r="101">
      <c r="A101" s="17" t="n"/>
      <c r="B101" s="17" t="n"/>
      <c r="C101" s="17" t="n"/>
      <c r="D101" s="17" t="n"/>
      <c r="E101" s="17" t="n"/>
      <c r="F101" s="29" t="n"/>
      <c r="G101" s="17" t="n"/>
      <c r="H101" s="17" t="n"/>
      <c r="I101" s="17" t="n"/>
      <c r="J101" s="22">
        <f>IF(A101="","",IF(COUNTA(G101:I101)&lt;3,"判定保留",IFERROR(CHOOSE(MAX(INDEX('判定表'!$D:$D,MATCH("E|利用範囲|"&amp;G101,'判定表'!$A:$A,0)),INDEX('判定表'!$D:$D,MATCH("E|データの利用範囲|"&amp;H101,'判定表'!$A:$A,0)),INDEX('判定表'!$D:$D,MATCH("E|環境|"&amp;I101,'判定表'!$A:$A,0)))+1,"低","中","高"),"判定表にない回答")))</f>
        <v/>
      </c>
      <c r="K101" s="17" t="n"/>
      <c r="L101" s="17" t="n"/>
      <c r="M101" s="22">
        <f>IF(A101="","",IF(OR(K101="",L101="",D101="",E101="",D101="未確認",E101="未確認"),"判定保留",IFERROR(IF(OR(D101="はい",E101="はい"),INDEX('判定表'!$D:$D,MATCH("L|"&amp;INDEX('判定表'!$D:$D,MATCH("D|"&amp;K101&amp;"|"&amp;L101,'判定表'!$A:$A,0)),'判定表'!$A:$A,0)),INDEX('判定表'!$D:$D,MATCH("D|"&amp;K101&amp;"|"&amp;L101,'判定表'!$A:$A,0))),"判定表にない組み合わせ")))</f>
        <v/>
      </c>
      <c r="N101" s="22">
        <f>IF(A101="","",IF(J101="判定保留","判定保留",IFERROR(INDEX('判定表'!$D:$D,MATCH("S|"&amp;J101,'判定表'!$A:$A,0)),"判定表にない回答")))</f>
        <v/>
      </c>
      <c r="O101" s="22">
        <f>IF(A101="","",IF(N101="留保","—",IF(OR(N101="判定保留",M101="判定保留"),"判定保留",IFERROR(INDEX('判定表'!$D:$D,MATCH("T|"&amp;J101&amp;"|"&amp;M101,'判定表'!$A:$A,0)),"判定表にない組み合わせ"))))</f>
        <v/>
      </c>
    </row>
    <row r="102">
      <c r="A102" s="17" t="n"/>
      <c r="B102" s="17" t="n"/>
      <c r="C102" s="17" t="n"/>
      <c r="D102" s="17" t="n"/>
      <c r="E102" s="17" t="n"/>
      <c r="F102" s="29" t="n"/>
      <c r="G102" s="17" t="n"/>
      <c r="H102" s="17" t="n"/>
      <c r="I102" s="17" t="n"/>
      <c r="J102" s="22">
        <f>IF(A102="","",IF(COUNTA(G102:I102)&lt;3,"判定保留",IFERROR(CHOOSE(MAX(INDEX('判定表'!$D:$D,MATCH("E|利用範囲|"&amp;G102,'判定表'!$A:$A,0)),INDEX('判定表'!$D:$D,MATCH("E|データの利用範囲|"&amp;H102,'判定表'!$A:$A,0)),INDEX('判定表'!$D:$D,MATCH("E|環境|"&amp;I102,'判定表'!$A:$A,0)))+1,"低","中","高"),"判定表にない回答")))</f>
        <v/>
      </c>
      <c r="K102" s="17" t="n"/>
      <c r="L102" s="17" t="n"/>
      <c r="M102" s="22">
        <f>IF(A102="","",IF(OR(K102="",L102="",D102="",E102="",D102="未確認",E102="未確認"),"判定保留",IFERROR(IF(OR(D102="はい",E102="はい"),INDEX('判定表'!$D:$D,MATCH("L|"&amp;INDEX('判定表'!$D:$D,MATCH("D|"&amp;K102&amp;"|"&amp;L102,'判定表'!$A:$A,0)),'判定表'!$A:$A,0)),INDEX('判定表'!$D:$D,MATCH("D|"&amp;K102&amp;"|"&amp;L102,'判定表'!$A:$A,0))),"判定表にない組み合わせ")))</f>
        <v/>
      </c>
      <c r="N102" s="22">
        <f>IF(A102="","",IF(J102="判定保留","判定保留",IFERROR(INDEX('判定表'!$D:$D,MATCH("S|"&amp;J102,'判定表'!$A:$A,0)),"判定表にない回答")))</f>
        <v/>
      </c>
      <c r="O102" s="22">
        <f>IF(A102="","",IF(N102="留保","—",IF(OR(N102="判定保留",M102="判定保留"),"判定保留",IFERROR(INDEX('判定表'!$D:$D,MATCH("T|"&amp;J102&amp;"|"&amp;M102,'判定表'!$A:$A,0)),"判定表にない組み合わせ"))))</f>
        <v/>
      </c>
    </row>
    <row r="103">
      <c r="A103" s="17" t="n"/>
      <c r="B103" s="17" t="n"/>
      <c r="C103" s="17" t="n"/>
      <c r="D103" s="17" t="n"/>
      <c r="E103" s="17" t="n"/>
      <c r="F103" s="29" t="n"/>
      <c r="G103" s="17" t="n"/>
      <c r="H103" s="17" t="n"/>
      <c r="I103" s="17" t="n"/>
      <c r="J103" s="22">
        <f>IF(A103="","",IF(COUNTA(G103:I103)&lt;3,"判定保留",IFERROR(CHOOSE(MAX(INDEX('判定表'!$D:$D,MATCH("E|利用範囲|"&amp;G103,'判定表'!$A:$A,0)),INDEX('判定表'!$D:$D,MATCH("E|データの利用範囲|"&amp;H103,'判定表'!$A:$A,0)),INDEX('判定表'!$D:$D,MATCH("E|環境|"&amp;I103,'判定表'!$A:$A,0)))+1,"低","中","高"),"判定表にない回答")))</f>
        <v/>
      </c>
      <c r="K103" s="17" t="n"/>
      <c r="L103" s="17" t="n"/>
      <c r="M103" s="22">
        <f>IF(A103="","",IF(OR(K103="",L103="",D103="",E103="",D103="未確認",E103="未確認"),"判定保留",IFERROR(IF(OR(D103="はい",E103="はい"),INDEX('判定表'!$D:$D,MATCH("L|"&amp;INDEX('判定表'!$D:$D,MATCH("D|"&amp;K103&amp;"|"&amp;L103,'判定表'!$A:$A,0)),'判定表'!$A:$A,0)),INDEX('判定表'!$D:$D,MATCH("D|"&amp;K103&amp;"|"&amp;L103,'判定表'!$A:$A,0))),"判定表にない組み合わせ")))</f>
        <v/>
      </c>
      <c r="N103" s="22">
        <f>IF(A103="","",IF(J103="判定保留","判定保留",IFERROR(INDEX('判定表'!$D:$D,MATCH("S|"&amp;J103,'判定表'!$A:$A,0)),"判定表にない回答")))</f>
        <v/>
      </c>
      <c r="O103" s="22">
        <f>IF(A103="","",IF(N103="留保","—",IF(OR(N103="判定保留",M103="判定保留"),"判定保留",IFERROR(INDEX('判定表'!$D:$D,MATCH("T|"&amp;J103&amp;"|"&amp;M103,'判定表'!$A:$A,0)),"判定表にない組み合わせ"))))</f>
        <v/>
      </c>
    </row>
    <row r="104">
      <c r="A104" s="17" t="n"/>
      <c r="B104" s="17" t="n"/>
      <c r="C104" s="17" t="n"/>
      <c r="D104" s="17" t="n"/>
      <c r="E104" s="17" t="n"/>
      <c r="F104" s="29" t="n"/>
      <c r="G104" s="17" t="n"/>
      <c r="H104" s="17" t="n"/>
      <c r="I104" s="17" t="n"/>
      <c r="J104" s="22">
        <f>IF(A104="","",IF(COUNTA(G104:I104)&lt;3,"判定保留",IFERROR(CHOOSE(MAX(INDEX('判定表'!$D:$D,MATCH("E|利用範囲|"&amp;G104,'判定表'!$A:$A,0)),INDEX('判定表'!$D:$D,MATCH("E|データの利用範囲|"&amp;H104,'判定表'!$A:$A,0)),INDEX('判定表'!$D:$D,MATCH("E|環境|"&amp;I104,'判定表'!$A:$A,0)))+1,"低","中","高"),"判定表にない回答")))</f>
        <v/>
      </c>
      <c r="K104" s="17" t="n"/>
      <c r="L104" s="17" t="n"/>
      <c r="M104" s="22">
        <f>IF(A104="","",IF(OR(K104="",L104="",D104="",E104="",D104="未確認",E104="未確認"),"判定保留",IFERROR(IF(OR(D104="はい",E104="はい"),INDEX('判定表'!$D:$D,MATCH("L|"&amp;INDEX('判定表'!$D:$D,MATCH("D|"&amp;K104&amp;"|"&amp;L104,'判定表'!$A:$A,0)),'判定表'!$A:$A,0)),INDEX('判定表'!$D:$D,MATCH("D|"&amp;K104&amp;"|"&amp;L104,'判定表'!$A:$A,0))),"判定表にない組み合わせ")))</f>
        <v/>
      </c>
      <c r="N104" s="22">
        <f>IF(A104="","",IF(J104="判定保留","判定保留",IFERROR(INDEX('判定表'!$D:$D,MATCH("S|"&amp;J104,'判定表'!$A:$A,0)),"判定表にない回答")))</f>
        <v/>
      </c>
      <c r="O104" s="22">
        <f>IF(A104="","",IF(N104="留保","—",IF(OR(N104="判定保留",M104="判定保留"),"判定保留",IFERROR(INDEX('判定表'!$D:$D,MATCH("T|"&amp;J104&amp;"|"&amp;M104,'判定表'!$A:$A,0)),"判定表にない組み合わせ"))))</f>
        <v/>
      </c>
    </row>
    <row r="105">
      <c r="A105" s="17" t="n"/>
      <c r="B105" s="17" t="n"/>
      <c r="C105" s="17" t="n"/>
      <c r="D105" s="17" t="n"/>
      <c r="E105" s="17" t="n"/>
      <c r="F105" s="29" t="n"/>
      <c r="G105" s="17" t="n"/>
      <c r="H105" s="17" t="n"/>
      <c r="I105" s="17" t="n"/>
      <c r="J105" s="22">
        <f>IF(A105="","",IF(COUNTA(G105:I105)&lt;3,"判定保留",IFERROR(CHOOSE(MAX(INDEX('判定表'!$D:$D,MATCH("E|利用範囲|"&amp;G105,'判定表'!$A:$A,0)),INDEX('判定表'!$D:$D,MATCH("E|データの利用範囲|"&amp;H105,'判定表'!$A:$A,0)),INDEX('判定表'!$D:$D,MATCH("E|環境|"&amp;I105,'判定表'!$A:$A,0)))+1,"低","中","高"),"判定表にない回答")))</f>
        <v/>
      </c>
      <c r="K105" s="17" t="n"/>
      <c r="L105" s="17" t="n"/>
      <c r="M105" s="22">
        <f>IF(A105="","",IF(OR(K105="",L105="",D105="",E105="",D105="未確認",E105="未確認"),"判定保留",IFERROR(IF(OR(D105="はい",E105="はい"),INDEX('判定表'!$D:$D,MATCH("L|"&amp;INDEX('判定表'!$D:$D,MATCH("D|"&amp;K105&amp;"|"&amp;L105,'判定表'!$A:$A,0)),'判定表'!$A:$A,0)),INDEX('判定表'!$D:$D,MATCH("D|"&amp;K105&amp;"|"&amp;L105,'判定表'!$A:$A,0))),"判定表にない組み合わせ")))</f>
        <v/>
      </c>
      <c r="N105" s="22">
        <f>IF(A105="","",IF(J105="判定保留","判定保留",IFERROR(INDEX('判定表'!$D:$D,MATCH("S|"&amp;J105,'判定表'!$A:$A,0)),"判定表にない回答")))</f>
        <v/>
      </c>
      <c r="O105" s="22">
        <f>IF(A105="","",IF(N105="留保","—",IF(OR(N105="判定保留",M105="判定保留"),"判定保留",IFERROR(INDEX('判定表'!$D:$D,MATCH("T|"&amp;J105&amp;"|"&amp;M105,'判定表'!$A:$A,0)),"判定表にない組み合わせ"))))</f>
        <v/>
      </c>
    </row>
    <row r="106">
      <c r="A106" s="17" t="n"/>
      <c r="B106" s="17" t="n"/>
      <c r="C106" s="17" t="n"/>
      <c r="D106" s="17" t="n"/>
      <c r="E106" s="17" t="n"/>
      <c r="F106" s="29" t="n"/>
      <c r="G106" s="17" t="n"/>
      <c r="H106" s="17" t="n"/>
      <c r="I106" s="17" t="n"/>
      <c r="J106" s="22">
        <f>IF(A106="","",IF(COUNTA(G106:I106)&lt;3,"判定保留",IFERROR(CHOOSE(MAX(INDEX('判定表'!$D:$D,MATCH("E|利用範囲|"&amp;G106,'判定表'!$A:$A,0)),INDEX('判定表'!$D:$D,MATCH("E|データの利用範囲|"&amp;H106,'判定表'!$A:$A,0)),INDEX('判定表'!$D:$D,MATCH("E|環境|"&amp;I106,'判定表'!$A:$A,0)))+1,"低","中","高"),"判定表にない回答")))</f>
        <v/>
      </c>
      <c r="K106" s="17" t="n"/>
      <c r="L106" s="17" t="n"/>
      <c r="M106" s="22">
        <f>IF(A106="","",IF(OR(K106="",L106="",D106="",E106="",D106="未確認",E106="未確認"),"判定保留",IFERROR(IF(OR(D106="はい",E106="はい"),INDEX('判定表'!$D:$D,MATCH("L|"&amp;INDEX('判定表'!$D:$D,MATCH("D|"&amp;K106&amp;"|"&amp;L106,'判定表'!$A:$A,0)),'判定表'!$A:$A,0)),INDEX('判定表'!$D:$D,MATCH("D|"&amp;K106&amp;"|"&amp;L106,'判定表'!$A:$A,0))),"判定表にない組み合わせ")))</f>
        <v/>
      </c>
      <c r="N106" s="22">
        <f>IF(A106="","",IF(J106="判定保留","判定保留",IFERROR(INDEX('判定表'!$D:$D,MATCH("S|"&amp;J106,'判定表'!$A:$A,0)),"判定表にない回答")))</f>
        <v/>
      </c>
      <c r="O106" s="22">
        <f>IF(A106="","",IF(N106="留保","—",IF(OR(N106="判定保留",M106="判定保留"),"判定保留",IFERROR(INDEX('判定表'!$D:$D,MATCH("T|"&amp;J106&amp;"|"&amp;M106,'判定表'!$A:$A,0)),"判定表にない組み合わせ"))))</f>
        <v/>
      </c>
    </row>
    <row r="107">
      <c r="A107" s="17" t="n"/>
      <c r="B107" s="17" t="n"/>
      <c r="C107" s="17" t="n"/>
      <c r="D107" s="17" t="n"/>
      <c r="E107" s="17" t="n"/>
      <c r="F107" s="29" t="n"/>
      <c r="G107" s="17" t="n"/>
      <c r="H107" s="17" t="n"/>
      <c r="I107" s="17" t="n"/>
      <c r="J107" s="22">
        <f>IF(A107="","",IF(COUNTA(G107:I107)&lt;3,"判定保留",IFERROR(CHOOSE(MAX(INDEX('判定表'!$D:$D,MATCH("E|利用範囲|"&amp;G107,'判定表'!$A:$A,0)),INDEX('判定表'!$D:$D,MATCH("E|データの利用範囲|"&amp;H107,'判定表'!$A:$A,0)),INDEX('判定表'!$D:$D,MATCH("E|環境|"&amp;I107,'判定表'!$A:$A,0)))+1,"低","中","高"),"判定表にない回答")))</f>
        <v/>
      </c>
      <c r="K107" s="17" t="n"/>
      <c r="L107" s="17" t="n"/>
      <c r="M107" s="22">
        <f>IF(A107="","",IF(OR(K107="",L107="",D107="",E107="",D107="未確認",E107="未確認"),"判定保留",IFERROR(IF(OR(D107="はい",E107="はい"),INDEX('判定表'!$D:$D,MATCH("L|"&amp;INDEX('判定表'!$D:$D,MATCH("D|"&amp;K107&amp;"|"&amp;L107,'判定表'!$A:$A,0)),'判定表'!$A:$A,0)),INDEX('判定表'!$D:$D,MATCH("D|"&amp;K107&amp;"|"&amp;L107,'判定表'!$A:$A,0))),"判定表にない組み合わせ")))</f>
        <v/>
      </c>
      <c r="N107" s="22">
        <f>IF(A107="","",IF(J107="判定保留","判定保留",IFERROR(INDEX('判定表'!$D:$D,MATCH("S|"&amp;J107,'判定表'!$A:$A,0)),"判定表にない回答")))</f>
        <v/>
      </c>
      <c r="O107" s="22">
        <f>IF(A107="","",IF(N107="留保","—",IF(OR(N107="判定保留",M107="判定保留"),"判定保留",IFERROR(INDEX('判定表'!$D:$D,MATCH("T|"&amp;J107&amp;"|"&amp;M107,'判定表'!$A:$A,0)),"判定表にない組み合わせ"))))</f>
        <v/>
      </c>
    </row>
    <row r="108">
      <c r="A108" s="17" t="n"/>
      <c r="B108" s="17" t="n"/>
      <c r="C108" s="17" t="n"/>
      <c r="D108" s="17" t="n"/>
      <c r="E108" s="17" t="n"/>
      <c r="F108" s="29" t="n"/>
      <c r="G108" s="17" t="n"/>
      <c r="H108" s="17" t="n"/>
      <c r="I108" s="17" t="n"/>
      <c r="J108" s="22">
        <f>IF(A108="","",IF(COUNTA(G108:I108)&lt;3,"判定保留",IFERROR(CHOOSE(MAX(INDEX('判定表'!$D:$D,MATCH("E|利用範囲|"&amp;G108,'判定表'!$A:$A,0)),INDEX('判定表'!$D:$D,MATCH("E|データの利用範囲|"&amp;H108,'判定表'!$A:$A,0)),INDEX('判定表'!$D:$D,MATCH("E|環境|"&amp;I108,'判定表'!$A:$A,0)))+1,"低","中","高"),"判定表にない回答")))</f>
        <v/>
      </c>
      <c r="K108" s="17" t="n"/>
      <c r="L108" s="17" t="n"/>
      <c r="M108" s="22">
        <f>IF(A108="","",IF(OR(K108="",L108="",D108="",E108="",D108="未確認",E108="未確認"),"判定保留",IFERROR(IF(OR(D108="はい",E108="はい"),INDEX('判定表'!$D:$D,MATCH("L|"&amp;INDEX('判定表'!$D:$D,MATCH("D|"&amp;K108&amp;"|"&amp;L108,'判定表'!$A:$A,0)),'判定表'!$A:$A,0)),INDEX('判定表'!$D:$D,MATCH("D|"&amp;K108&amp;"|"&amp;L108,'判定表'!$A:$A,0))),"判定表にない組み合わせ")))</f>
        <v/>
      </c>
      <c r="N108" s="22">
        <f>IF(A108="","",IF(J108="判定保留","判定保留",IFERROR(INDEX('判定表'!$D:$D,MATCH("S|"&amp;J108,'判定表'!$A:$A,0)),"判定表にない回答")))</f>
        <v/>
      </c>
      <c r="O108" s="22">
        <f>IF(A108="","",IF(N108="留保","—",IF(OR(N108="判定保留",M108="判定保留"),"判定保留",IFERROR(INDEX('判定表'!$D:$D,MATCH("T|"&amp;J108&amp;"|"&amp;M108,'判定表'!$A:$A,0)),"判定表にない組み合わせ"))))</f>
        <v/>
      </c>
    </row>
    <row r="109">
      <c r="A109" s="17" t="n"/>
      <c r="B109" s="17" t="n"/>
      <c r="C109" s="17" t="n"/>
      <c r="D109" s="17" t="n"/>
      <c r="E109" s="17" t="n"/>
      <c r="F109" s="29" t="n"/>
      <c r="G109" s="17" t="n"/>
      <c r="H109" s="17" t="n"/>
      <c r="I109" s="17" t="n"/>
      <c r="J109" s="22">
        <f>IF(A109="","",IF(COUNTA(G109:I109)&lt;3,"判定保留",IFERROR(CHOOSE(MAX(INDEX('判定表'!$D:$D,MATCH("E|利用範囲|"&amp;G109,'判定表'!$A:$A,0)),INDEX('判定表'!$D:$D,MATCH("E|データの利用範囲|"&amp;H109,'判定表'!$A:$A,0)),INDEX('判定表'!$D:$D,MATCH("E|環境|"&amp;I109,'判定表'!$A:$A,0)))+1,"低","中","高"),"判定表にない回答")))</f>
        <v/>
      </c>
      <c r="K109" s="17" t="n"/>
      <c r="L109" s="17" t="n"/>
      <c r="M109" s="22">
        <f>IF(A109="","",IF(OR(K109="",L109="",D109="",E109="",D109="未確認",E109="未確認"),"判定保留",IFERROR(IF(OR(D109="はい",E109="はい"),INDEX('判定表'!$D:$D,MATCH("L|"&amp;INDEX('判定表'!$D:$D,MATCH("D|"&amp;K109&amp;"|"&amp;L109,'判定表'!$A:$A,0)),'判定表'!$A:$A,0)),INDEX('判定表'!$D:$D,MATCH("D|"&amp;K109&amp;"|"&amp;L109,'判定表'!$A:$A,0))),"判定表にない組み合わせ")))</f>
        <v/>
      </c>
      <c r="N109" s="22">
        <f>IF(A109="","",IF(J109="判定保留","判定保留",IFERROR(INDEX('判定表'!$D:$D,MATCH("S|"&amp;J109,'判定表'!$A:$A,0)),"判定表にない回答")))</f>
        <v/>
      </c>
      <c r="O109" s="22">
        <f>IF(A109="","",IF(N109="留保","—",IF(OR(N109="判定保留",M109="判定保留"),"判定保留",IFERROR(INDEX('判定表'!$D:$D,MATCH("T|"&amp;J109&amp;"|"&amp;M109,'判定表'!$A:$A,0)),"判定表にない組み合わせ"))))</f>
        <v/>
      </c>
    </row>
    <row r="110">
      <c r="A110" s="17" t="n"/>
      <c r="B110" s="17" t="n"/>
      <c r="C110" s="17" t="n"/>
      <c r="D110" s="17" t="n"/>
      <c r="E110" s="17" t="n"/>
      <c r="F110" s="29" t="n"/>
      <c r="G110" s="17" t="n"/>
      <c r="H110" s="17" t="n"/>
      <c r="I110" s="17" t="n"/>
      <c r="J110" s="22">
        <f>IF(A110="","",IF(COUNTA(G110:I110)&lt;3,"判定保留",IFERROR(CHOOSE(MAX(INDEX('判定表'!$D:$D,MATCH("E|利用範囲|"&amp;G110,'判定表'!$A:$A,0)),INDEX('判定表'!$D:$D,MATCH("E|データの利用範囲|"&amp;H110,'判定表'!$A:$A,0)),INDEX('判定表'!$D:$D,MATCH("E|環境|"&amp;I110,'判定表'!$A:$A,0)))+1,"低","中","高"),"判定表にない回答")))</f>
        <v/>
      </c>
      <c r="K110" s="17" t="n"/>
      <c r="L110" s="17" t="n"/>
      <c r="M110" s="22">
        <f>IF(A110="","",IF(OR(K110="",L110="",D110="",E110="",D110="未確認",E110="未確認"),"判定保留",IFERROR(IF(OR(D110="はい",E110="はい"),INDEX('判定表'!$D:$D,MATCH("L|"&amp;INDEX('判定表'!$D:$D,MATCH("D|"&amp;K110&amp;"|"&amp;L110,'判定表'!$A:$A,0)),'判定表'!$A:$A,0)),INDEX('判定表'!$D:$D,MATCH("D|"&amp;K110&amp;"|"&amp;L110,'判定表'!$A:$A,0))),"判定表にない組み合わせ")))</f>
        <v/>
      </c>
      <c r="N110" s="22">
        <f>IF(A110="","",IF(J110="判定保留","判定保留",IFERROR(INDEX('判定表'!$D:$D,MATCH("S|"&amp;J110,'判定表'!$A:$A,0)),"判定表にない回答")))</f>
        <v/>
      </c>
      <c r="O110" s="22">
        <f>IF(A110="","",IF(N110="留保","—",IF(OR(N110="判定保留",M110="判定保留"),"判定保留",IFERROR(INDEX('判定表'!$D:$D,MATCH("T|"&amp;J110&amp;"|"&amp;M110,'判定表'!$A:$A,0)),"判定表にない組み合わせ"))))</f>
        <v/>
      </c>
    </row>
    <row r="111">
      <c r="A111" s="17" t="n"/>
      <c r="B111" s="17" t="n"/>
      <c r="C111" s="17" t="n"/>
      <c r="D111" s="17" t="n"/>
      <c r="E111" s="17" t="n"/>
      <c r="F111" s="29" t="n"/>
      <c r="G111" s="17" t="n"/>
      <c r="H111" s="17" t="n"/>
      <c r="I111" s="17" t="n"/>
      <c r="J111" s="22">
        <f>IF(A111="","",IF(COUNTA(G111:I111)&lt;3,"判定保留",IFERROR(CHOOSE(MAX(INDEX('判定表'!$D:$D,MATCH("E|利用範囲|"&amp;G111,'判定表'!$A:$A,0)),INDEX('判定表'!$D:$D,MATCH("E|データの利用範囲|"&amp;H111,'判定表'!$A:$A,0)),INDEX('判定表'!$D:$D,MATCH("E|環境|"&amp;I111,'判定表'!$A:$A,0)))+1,"低","中","高"),"判定表にない回答")))</f>
        <v/>
      </c>
      <c r="K111" s="17" t="n"/>
      <c r="L111" s="17" t="n"/>
      <c r="M111" s="22">
        <f>IF(A111="","",IF(OR(K111="",L111="",D111="",E111="",D111="未確認",E111="未確認"),"判定保留",IFERROR(IF(OR(D111="はい",E111="はい"),INDEX('判定表'!$D:$D,MATCH("L|"&amp;INDEX('判定表'!$D:$D,MATCH("D|"&amp;K111&amp;"|"&amp;L111,'判定表'!$A:$A,0)),'判定表'!$A:$A,0)),INDEX('判定表'!$D:$D,MATCH("D|"&amp;K111&amp;"|"&amp;L111,'判定表'!$A:$A,0))),"判定表にない組み合わせ")))</f>
        <v/>
      </c>
      <c r="N111" s="22">
        <f>IF(A111="","",IF(J111="判定保留","判定保留",IFERROR(INDEX('判定表'!$D:$D,MATCH("S|"&amp;J111,'判定表'!$A:$A,0)),"判定表にない回答")))</f>
        <v/>
      </c>
      <c r="O111" s="22">
        <f>IF(A111="","",IF(N111="留保","—",IF(OR(N111="判定保留",M111="判定保留"),"判定保留",IFERROR(INDEX('判定表'!$D:$D,MATCH("T|"&amp;J111&amp;"|"&amp;M111,'判定表'!$A:$A,0)),"判定表にない組み合わせ"))))</f>
        <v/>
      </c>
    </row>
    <row r="112">
      <c r="A112" s="17" t="n"/>
      <c r="B112" s="17" t="n"/>
      <c r="C112" s="17" t="n"/>
      <c r="D112" s="17" t="n"/>
      <c r="E112" s="17" t="n"/>
      <c r="F112" s="29" t="n"/>
      <c r="G112" s="17" t="n"/>
      <c r="H112" s="17" t="n"/>
      <c r="I112" s="17" t="n"/>
      <c r="J112" s="22">
        <f>IF(A112="","",IF(COUNTA(G112:I112)&lt;3,"判定保留",IFERROR(CHOOSE(MAX(INDEX('判定表'!$D:$D,MATCH("E|利用範囲|"&amp;G112,'判定表'!$A:$A,0)),INDEX('判定表'!$D:$D,MATCH("E|データの利用範囲|"&amp;H112,'判定表'!$A:$A,0)),INDEX('判定表'!$D:$D,MATCH("E|環境|"&amp;I112,'判定表'!$A:$A,0)))+1,"低","中","高"),"判定表にない回答")))</f>
        <v/>
      </c>
      <c r="K112" s="17" t="n"/>
      <c r="L112" s="17" t="n"/>
      <c r="M112" s="22">
        <f>IF(A112="","",IF(OR(K112="",L112="",D112="",E112="",D112="未確認",E112="未確認"),"判定保留",IFERROR(IF(OR(D112="はい",E112="はい"),INDEX('判定表'!$D:$D,MATCH("L|"&amp;INDEX('判定表'!$D:$D,MATCH("D|"&amp;K112&amp;"|"&amp;L112,'判定表'!$A:$A,0)),'判定表'!$A:$A,0)),INDEX('判定表'!$D:$D,MATCH("D|"&amp;K112&amp;"|"&amp;L112,'判定表'!$A:$A,0))),"判定表にない組み合わせ")))</f>
        <v/>
      </c>
      <c r="N112" s="22">
        <f>IF(A112="","",IF(J112="判定保留","判定保留",IFERROR(INDEX('判定表'!$D:$D,MATCH("S|"&amp;J112,'判定表'!$A:$A,0)),"判定表にない回答")))</f>
        <v/>
      </c>
      <c r="O112" s="22">
        <f>IF(A112="","",IF(N112="留保","—",IF(OR(N112="判定保留",M112="判定保留"),"判定保留",IFERROR(INDEX('判定表'!$D:$D,MATCH("T|"&amp;J112&amp;"|"&amp;M112,'判定表'!$A:$A,0)),"判定表にない組み合わせ"))))</f>
        <v/>
      </c>
    </row>
    <row r="113">
      <c r="A113" s="17" t="n"/>
      <c r="B113" s="17" t="n"/>
      <c r="C113" s="17" t="n"/>
      <c r="D113" s="17" t="n"/>
      <c r="E113" s="17" t="n"/>
      <c r="F113" s="29" t="n"/>
      <c r="G113" s="17" t="n"/>
      <c r="H113" s="17" t="n"/>
      <c r="I113" s="17" t="n"/>
      <c r="J113" s="22">
        <f>IF(A113="","",IF(COUNTA(G113:I113)&lt;3,"判定保留",IFERROR(CHOOSE(MAX(INDEX('判定表'!$D:$D,MATCH("E|利用範囲|"&amp;G113,'判定表'!$A:$A,0)),INDEX('判定表'!$D:$D,MATCH("E|データの利用範囲|"&amp;H113,'判定表'!$A:$A,0)),INDEX('判定表'!$D:$D,MATCH("E|環境|"&amp;I113,'判定表'!$A:$A,0)))+1,"低","中","高"),"判定表にない回答")))</f>
        <v/>
      </c>
      <c r="K113" s="17" t="n"/>
      <c r="L113" s="17" t="n"/>
      <c r="M113" s="22">
        <f>IF(A113="","",IF(OR(K113="",L113="",D113="",E113="",D113="未確認",E113="未確認"),"判定保留",IFERROR(IF(OR(D113="はい",E113="はい"),INDEX('判定表'!$D:$D,MATCH("L|"&amp;INDEX('判定表'!$D:$D,MATCH("D|"&amp;K113&amp;"|"&amp;L113,'判定表'!$A:$A,0)),'判定表'!$A:$A,0)),INDEX('判定表'!$D:$D,MATCH("D|"&amp;K113&amp;"|"&amp;L113,'判定表'!$A:$A,0))),"判定表にない組み合わせ")))</f>
        <v/>
      </c>
      <c r="N113" s="22">
        <f>IF(A113="","",IF(J113="判定保留","判定保留",IFERROR(INDEX('判定表'!$D:$D,MATCH("S|"&amp;J113,'判定表'!$A:$A,0)),"判定表にない回答")))</f>
        <v/>
      </c>
      <c r="O113" s="22">
        <f>IF(A113="","",IF(N113="留保","—",IF(OR(N113="判定保留",M113="判定保留"),"判定保留",IFERROR(INDEX('判定表'!$D:$D,MATCH("T|"&amp;J113&amp;"|"&amp;M113,'判定表'!$A:$A,0)),"判定表にない組み合わせ"))))</f>
        <v/>
      </c>
    </row>
    <row r="114">
      <c r="A114" s="17" t="n"/>
      <c r="B114" s="17" t="n"/>
      <c r="C114" s="17" t="n"/>
      <c r="D114" s="17" t="n"/>
      <c r="E114" s="17" t="n"/>
      <c r="F114" s="29" t="n"/>
      <c r="G114" s="17" t="n"/>
      <c r="H114" s="17" t="n"/>
      <c r="I114" s="17" t="n"/>
      <c r="J114" s="22">
        <f>IF(A114="","",IF(COUNTA(G114:I114)&lt;3,"判定保留",IFERROR(CHOOSE(MAX(INDEX('判定表'!$D:$D,MATCH("E|利用範囲|"&amp;G114,'判定表'!$A:$A,0)),INDEX('判定表'!$D:$D,MATCH("E|データの利用範囲|"&amp;H114,'判定表'!$A:$A,0)),INDEX('判定表'!$D:$D,MATCH("E|環境|"&amp;I114,'判定表'!$A:$A,0)))+1,"低","中","高"),"判定表にない回答")))</f>
        <v/>
      </c>
      <c r="K114" s="17" t="n"/>
      <c r="L114" s="17" t="n"/>
      <c r="M114" s="22">
        <f>IF(A114="","",IF(OR(K114="",L114="",D114="",E114="",D114="未確認",E114="未確認"),"判定保留",IFERROR(IF(OR(D114="はい",E114="はい"),INDEX('判定表'!$D:$D,MATCH("L|"&amp;INDEX('判定表'!$D:$D,MATCH("D|"&amp;K114&amp;"|"&amp;L114,'判定表'!$A:$A,0)),'判定表'!$A:$A,0)),INDEX('判定表'!$D:$D,MATCH("D|"&amp;K114&amp;"|"&amp;L114,'判定表'!$A:$A,0))),"判定表にない組み合わせ")))</f>
        <v/>
      </c>
      <c r="N114" s="22">
        <f>IF(A114="","",IF(J114="判定保留","判定保留",IFERROR(INDEX('判定表'!$D:$D,MATCH("S|"&amp;J114,'判定表'!$A:$A,0)),"判定表にない回答")))</f>
        <v/>
      </c>
      <c r="O114" s="22">
        <f>IF(A114="","",IF(N114="留保","—",IF(OR(N114="判定保留",M114="判定保留"),"判定保留",IFERROR(INDEX('判定表'!$D:$D,MATCH("T|"&amp;J114&amp;"|"&amp;M114,'判定表'!$A:$A,0)),"判定表にない組み合わせ"))))</f>
        <v/>
      </c>
    </row>
    <row r="115">
      <c r="A115" s="17" t="n"/>
      <c r="B115" s="17" t="n"/>
      <c r="C115" s="17" t="n"/>
      <c r="D115" s="17" t="n"/>
      <c r="E115" s="17" t="n"/>
      <c r="F115" s="29" t="n"/>
      <c r="G115" s="17" t="n"/>
      <c r="H115" s="17" t="n"/>
      <c r="I115" s="17" t="n"/>
      <c r="J115" s="22">
        <f>IF(A115="","",IF(COUNTA(G115:I115)&lt;3,"判定保留",IFERROR(CHOOSE(MAX(INDEX('判定表'!$D:$D,MATCH("E|利用範囲|"&amp;G115,'判定表'!$A:$A,0)),INDEX('判定表'!$D:$D,MATCH("E|データの利用範囲|"&amp;H115,'判定表'!$A:$A,0)),INDEX('判定表'!$D:$D,MATCH("E|環境|"&amp;I115,'判定表'!$A:$A,0)))+1,"低","中","高"),"判定表にない回答")))</f>
        <v/>
      </c>
      <c r="K115" s="17" t="n"/>
      <c r="L115" s="17" t="n"/>
      <c r="M115" s="22">
        <f>IF(A115="","",IF(OR(K115="",L115="",D115="",E115="",D115="未確認",E115="未確認"),"判定保留",IFERROR(IF(OR(D115="はい",E115="はい"),INDEX('判定表'!$D:$D,MATCH("L|"&amp;INDEX('判定表'!$D:$D,MATCH("D|"&amp;K115&amp;"|"&amp;L115,'判定表'!$A:$A,0)),'判定表'!$A:$A,0)),INDEX('判定表'!$D:$D,MATCH("D|"&amp;K115&amp;"|"&amp;L115,'判定表'!$A:$A,0))),"判定表にない組み合わせ")))</f>
        <v/>
      </c>
      <c r="N115" s="22">
        <f>IF(A115="","",IF(J115="判定保留","判定保留",IFERROR(INDEX('判定表'!$D:$D,MATCH("S|"&amp;J115,'判定表'!$A:$A,0)),"判定表にない回答")))</f>
        <v/>
      </c>
      <c r="O115" s="22">
        <f>IF(A115="","",IF(N115="留保","—",IF(OR(N115="判定保留",M115="判定保留"),"判定保留",IFERROR(INDEX('判定表'!$D:$D,MATCH("T|"&amp;J115&amp;"|"&amp;M115,'判定表'!$A:$A,0)),"判定表にない組み合わせ"))))</f>
        <v/>
      </c>
    </row>
    <row r="116">
      <c r="A116" s="17" t="n"/>
      <c r="B116" s="17" t="n"/>
      <c r="C116" s="17" t="n"/>
      <c r="D116" s="17" t="n"/>
      <c r="E116" s="17" t="n"/>
      <c r="F116" s="29" t="n"/>
      <c r="G116" s="17" t="n"/>
      <c r="H116" s="17" t="n"/>
      <c r="I116" s="17" t="n"/>
      <c r="J116" s="22">
        <f>IF(A116="","",IF(COUNTA(G116:I116)&lt;3,"判定保留",IFERROR(CHOOSE(MAX(INDEX('判定表'!$D:$D,MATCH("E|利用範囲|"&amp;G116,'判定表'!$A:$A,0)),INDEX('判定表'!$D:$D,MATCH("E|データの利用範囲|"&amp;H116,'判定表'!$A:$A,0)),INDEX('判定表'!$D:$D,MATCH("E|環境|"&amp;I116,'判定表'!$A:$A,0)))+1,"低","中","高"),"判定表にない回答")))</f>
        <v/>
      </c>
      <c r="K116" s="17" t="n"/>
      <c r="L116" s="17" t="n"/>
      <c r="M116" s="22">
        <f>IF(A116="","",IF(OR(K116="",L116="",D116="",E116="",D116="未確認",E116="未確認"),"判定保留",IFERROR(IF(OR(D116="はい",E116="はい"),INDEX('判定表'!$D:$D,MATCH("L|"&amp;INDEX('判定表'!$D:$D,MATCH("D|"&amp;K116&amp;"|"&amp;L116,'判定表'!$A:$A,0)),'判定表'!$A:$A,0)),INDEX('判定表'!$D:$D,MATCH("D|"&amp;K116&amp;"|"&amp;L116,'判定表'!$A:$A,0))),"判定表にない組み合わせ")))</f>
        <v/>
      </c>
      <c r="N116" s="22">
        <f>IF(A116="","",IF(J116="判定保留","判定保留",IFERROR(INDEX('判定表'!$D:$D,MATCH("S|"&amp;J116,'判定表'!$A:$A,0)),"判定表にない回答")))</f>
        <v/>
      </c>
      <c r="O116" s="22">
        <f>IF(A116="","",IF(N116="留保","—",IF(OR(N116="判定保留",M116="判定保留"),"判定保留",IFERROR(INDEX('判定表'!$D:$D,MATCH("T|"&amp;J116&amp;"|"&amp;M116,'判定表'!$A:$A,0)),"判定表にない組み合わせ"))))</f>
        <v/>
      </c>
    </row>
    <row r="117">
      <c r="A117" s="17" t="n"/>
      <c r="B117" s="17" t="n"/>
      <c r="C117" s="17" t="n"/>
      <c r="D117" s="17" t="n"/>
      <c r="E117" s="17" t="n"/>
      <c r="F117" s="29" t="n"/>
      <c r="G117" s="17" t="n"/>
      <c r="H117" s="17" t="n"/>
      <c r="I117" s="17" t="n"/>
      <c r="J117" s="22">
        <f>IF(A117="","",IF(COUNTA(G117:I117)&lt;3,"判定保留",IFERROR(CHOOSE(MAX(INDEX('判定表'!$D:$D,MATCH("E|利用範囲|"&amp;G117,'判定表'!$A:$A,0)),INDEX('判定表'!$D:$D,MATCH("E|データの利用範囲|"&amp;H117,'判定表'!$A:$A,0)),INDEX('判定表'!$D:$D,MATCH("E|環境|"&amp;I117,'判定表'!$A:$A,0)))+1,"低","中","高"),"判定表にない回答")))</f>
        <v/>
      </c>
      <c r="K117" s="17" t="n"/>
      <c r="L117" s="17" t="n"/>
      <c r="M117" s="22">
        <f>IF(A117="","",IF(OR(K117="",L117="",D117="",E117="",D117="未確認",E117="未確認"),"判定保留",IFERROR(IF(OR(D117="はい",E117="はい"),INDEX('判定表'!$D:$D,MATCH("L|"&amp;INDEX('判定表'!$D:$D,MATCH("D|"&amp;K117&amp;"|"&amp;L117,'判定表'!$A:$A,0)),'判定表'!$A:$A,0)),INDEX('判定表'!$D:$D,MATCH("D|"&amp;K117&amp;"|"&amp;L117,'判定表'!$A:$A,0))),"判定表にない組み合わせ")))</f>
        <v/>
      </c>
      <c r="N117" s="22">
        <f>IF(A117="","",IF(J117="判定保留","判定保留",IFERROR(INDEX('判定表'!$D:$D,MATCH("S|"&amp;J117,'判定表'!$A:$A,0)),"判定表にない回答")))</f>
        <v/>
      </c>
      <c r="O117" s="22">
        <f>IF(A117="","",IF(N117="留保","—",IF(OR(N117="判定保留",M117="判定保留"),"判定保留",IFERROR(INDEX('判定表'!$D:$D,MATCH("T|"&amp;J117&amp;"|"&amp;M117,'判定表'!$A:$A,0)),"判定表にない組み合わせ"))))</f>
        <v/>
      </c>
    </row>
    <row r="118">
      <c r="A118" s="17" t="n"/>
      <c r="B118" s="17" t="n"/>
      <c r="C118" s="17" t="n"/>
      <c r="D118" s="17" t="n"/>
      <c r="E118" s="17" t="n"/>
      <c r="F118" s="29" t="n"/>
      <c r="G118" s="17" t="n"/>
      <c r="H118" s="17" t="n"/>
      <c r="I118" s="17" t="n"/>
      <c r="J118" s="22">
        <f>IF(A118="","",IF(COUNTA(G118:I118)&lt;3,"判定保留",IFERROR(CHOOSE(MAX(INDEX('判定表'!$D:$D,MATCH("E|利用範囲|"&amp;G118,'判定表'!$A:$A,0)),INDEX('判定表'!$D:$D,MATCH("E|データの利用範囲|"&amp;H118,'判定表'!$A:$A,0)),INDEX('判定表'!$D:$D,MATCH("E|環境|"&amp;I118,'判定表'!$A:$A,0)))+1,"低","中","高"),"判定表にない回答")))</f>
        <v/>
      </c>
      <c r="K118" s="17" t="n"/>
      <c r="L118" s="17" t="n"/>
      <c r="M118" s="22">
        <f>IF(A118="","",IF(OR(K118="",L118="",D118="",E118="",D118="未確認",E118="未確認"),"判定保留",IFERROR(IF(OR(D118="はい",E118="はい"),INDEX('判定表'!$D:$D,MATCH("L|"&amp;INDEX('判定表'!$D:$D,MATCH("D|"&amp;K118&amp;"|"&amp;L118,'判定表'!$A:$A,0)),'判定表'!$A:$A,0)),INDEX('判定表'!$D:$D,MATCH("D|"&amp;K118&amp;"|"&amp;L118,'判定表'!$A:$A,0))),"判定表にない組み合わせ")))</f>
        <v/>
      </c>
      <c r="N118" s="22">
        <f>IF(A118="","",IF(J118="判定保留","判定保留",IFERROR(INDEX('判定表'!$D:$D,MATCH("S|"&amp;J118,'判定表'!$A:$A,0)),"判定表にない回答")))</f>
        <v/>
      </c>
      <c r="O118" s="22">
        <f>IF(A118="","",IF(N118="留保","—",IF(OR(N118="判定保留",M118="判定保留"),"判定保留",IFERROR(INDEX('判定表'!$D:$D,MATCH("T|"&amp;J118&amp;"|"&amp;M118,'判定表'!$A:$A,0)),"判定表にない組み合わせ"))))</f>
        <v/>
      </c>
    </row>
    <row r="119">
      <c r="A119" s="17" t="n"/>
      <c r="B119" s="17" t="n"/>
      <c r="C119" s="17" t="n"/>
      <c r="D119" s="17" t="n"/>
      <c r="E119" s="17" t="n"/>
      <c r="F119" s="29" t="n"/>
      <c r="G119" s="17" t="n"/>
      <c r="H119" s="17" t="n"/>
      <c r="I119" s="17" t="n"/>
      <c r="J119" s="22">
        <f>IF(A119="","",IF(COUNTA(G119:I119)&lt;3,"判定保留",IFERROR(CHOOSE(MAX(INDEX('判定表'!$D:$D,MATCH("E|利用範囲|"&amp;G119,'判定表'!$A:$A,0)),INDEX('判定表'!$D:$D,MATCH("E|データの利用範囲|"&amp;H119,'判定表'!$A:$A,0)),INDEX('判定表'!$D:$D,MATCH("E|環境|"&amp;I119,'判定表'!$A:$A,0)))+1,"低","中","高"),"判定表にない回答")))</f>
        <v/>
      </c>
      <c r="K119" s="17" t="n"/>
      <c r="L119" s="17" t="n"/>
      <c r="M119" s="22">
        <f>IF(A119="","",IF(OR(K119="",L119="",D119="",E119="",D119="未確認",E119="未確認"),"判定保留",IFERROR(IF(OR(D119="はい",E119="はい"),INDEX('判定表'!$D:$D,MATCH("L|"&amp;INDEX('判定表'!$D:$D,MATCH("D|"&amp;K119&amp;"|"&amp;L119,'判定表'!$A:$A,0)),'判定表'!$A:$A,0)),INDEX('判定表'!$D:$D,MATCH("D|"&amp;K119&amp;"|"&amp;L119,'判定表'!$A:$A,0))),"判定表にない組み合わせ")))</f>
        <v/>
      </c>
      <c r="N119" s="22">
        <f>IF(A119="","",IF(J119="判定保留","判定保留",IFERROR(INDEX('判定表'!$D:$D,MATCH("S|"&amp;J119,'判定表'!$A:$A,0)),"判定表にない回答")))</f>
        <v/>
      </c>
      <c r="O119" s="22">
        <f>IF(A119="","",IF(N119="留保","—",IF(OR(N119="判定保留",M119="判定保留"),"判定保留",IFERROR(INDEX('判定表'!$D:$D,MATCH("T|"&amp;J119&amp;"|"&amp;M119,'判定表'!$A:$A,0)),"判定表にない組み合わせ"))))</f>
        <v/>
      </c>
    </row>
    <row r="120">
      <c r="A120" s="17" t="n"/>
      <c r="B120" s="17" t="n"/>
      <c r="C120" s="17" t="n"/>
      <c r="D120" s="17" t="n"/>
      <c r="E120" s="17" t="n"/>
      <c r="F120" s="29" t="n"/>
      <c r="G120" s="17" t="n"/>
      <c r="H120" s="17" t="n"/>
      <c r="I120" s="17" t="n"/>
      <c r="J120" s="22">
        <f>IF(A120="","",IF(COUNTA(G120:I120)&lt;3,"判定保留",IFERROR(CHOOSE(MAX(INDEX('判定表'!$D:$D,MATCH("E|利用範囲|"&amp;G120,'判定表'!$A:$A,0)),INDEX('判定表'!$D:$D,MATCH("E|データの利用範囲|"&amp;H120,'判定表'!$A:$A,0)),INDEX('判定表'!$D:$D,MATCH("E|環境|"&amp;I120,'判定表'!$A:$A,0)))+1,"低","中","高"),"判定表にない回答")))</f>
        <v/>
      </c>
      <c r="K120" s="17" t="n"/>
      <c r="L120" s="17" t="n"/>
      <c r="M120" s="22">
        <f>IF(A120="","",IF(OR(K120="",L120="",D120="",E120="",D120="未確認",E120="未確認"),"判定保留",IFERROR(IF(OR(D120="はい",E120="はい"),INDEX('判定表'!$D:$D,MATCH("L|"&amp;INDEX('判定表'!$D:$D,MATCH("D|"&amp;K120&amp;"|"&amp;L120,'判定表'!$A:$A,0)),'判定表'!$A:$A,0)),INDEX('判定表'!$D:$D,MATCH("D|"&amp;K120&amp;"|"&amp;L120,'判定表'!$A:$A,0))),"判定表にない組み合わせ")))</f>
        <v/>
      </c>
      <c r="N120" s="22">
        <f>IF(A120="","",IF(J120="判定保留","判定保留",IFERROR(INDEX('判定表'!$D:$D,MATCH("S|"&amp;J120,'判定表'!$A:$A,0)),"判定表にない回答")))</f>
        <v/>
      </c>
      <c r="O120" s="22">
        <f>IF(A120="","",IF(N120="留保","—",IF(OR(N120="判定保留",M120="判定保留"),"判定保留",IFERROR(INDEX('判定表'!$D:$D,MATCH("T|"&amp;J120&amp;"|"&amp;M120,'判定表'!$A:$A,0)),"判定表にない組み合わせ"))))</f>
        <v/>
      </c>
    </row>
    <row r="121">
      <c r="A121" s="17" t="n"/>
      <c r="B121" s="17" t="n"/>
      <c r="C121" s="17" t="n"/>
      <c r="D121" s="17" t="n"/>
      <c r="E121" s="17" t="n"/>
      <c r="F121" s="29" t="n"/>
      <c r="G121" s="17" t="n"/>
      <c r="H121" s="17" t="n"/>
      <c r="I121" s="17" t="n"/>
      <c r="J121" s="22">
        <f>IF(A121="","",IF(COUNTA(G121:I121)&lt;3,"判定保留",IFERROR(CHOOSE(MAX(INDEX('判定表'!$D:$D,MATCH("E|利用範囲|"&amp;G121,'判定表'!$A:$A,0)),INDEX('判定表'!$D:$D,MATCH("E|データの利用範囲|"&amp;H121,'判定表'!$A:$A,0)),INDEX('判定表'!$D:$D,MATCH("E|環境|"&amp;I121,'判定表'!$A:$A,0)))+1,"低","中","高"),"判定表にない回答")))</f>
        <v/>
      </c>
      <c r="K121" s="17" t="n"/>
      <c r="L121" s="17" t="n"/>
      <c r="M121" s="22">
        <f>IF(A121="","",IF(OR(K121="",L121="",D121="",E121="",D121="未確認",E121="未確認"),"判定保留",IFERROR(IF(OR(D121="はい",E121="はい"),INDEX('判定表'!$D:$D,MATCH("L|"&amp;INDEX('判定表'!$D:$D,MATCH("D|"&amp;K121&amp;"|"&amp;L121,'判定表'!$A:$A,0)),'判定表'!$A:$A,0)),INDEX('判定表'!$D:$D,MATCH("D|"&amp;K121&amp;"|"&amp;L121,'判定表'!$A:$A,0))),"判定表にない組み合わせ")))</f>
        <v/>
      </c>
      <c r="N121" s="22">
        <f>IF(A121="","",IF(J121="判定保留","判定保留",IFERROR(INDEX('判定表'!$D:$D,MATCH("S|"&amp;J121,'判定表'!$A:$A,0)),"判定表にない回答")))</f>
        <v/>
      </c>
      <c r="O121" s="22">
        <f>IF(A121="","",IF(N121="留保","—",IF(OR(N121="判定保留",M121="判定保留"),"判定保留",IFERROR(INDEX('判定表'!$D:$D,MATCH("T|"&amp;J121&amp;"|"&amp;M121,'判定表'!$A:$A,0)),"判定表にない組み合わせ"))))</f>
        <v/>
      </c>
    </row>
    <row r="122">
      <c r="A122" s="17" t="n"/>
      <c r="B122" s="17" t="n"/>
      <c r="C122" s="17" t="n"/>
      <c r="D122" s="17" t="n"/>
      <c r="E122" s="17" t="n"/>
      <c r="F122" s="29" t="n"/>
      <c r="G122" s="17" t="n"/>
      <c r="H122" s="17" t="n"/>
      <c r="I122" s="17" t="n"/>
      <c r="J122" s="22">
        <f>IF(A122="","",IF(COUNTA(G122:I122)&lt;3,"判定保留",IFERROR(CHOOSE(MAX(INDEX('判定表'!$D:$D,MATCH("E|利用範囲|"&amp;G122,'判定表'!$A:$A,0)),INDEX('判定表'!$D:$D,MATCH("E|データの利用範囲|"&amp;H122,'判定表'!$A:$A,0)),INDEX('判定表'!$D:$D,MATCH("E|環境|"&amp;I122,'判定表'!$A:$A,0)))+1,"低","中","高"),"判定表にない回答")))</f>
        <v/>
      </c>
      <c r="K122" s="17" t="n"/>
      <c r="L122" s="17" t="n"/>
      <c r="M122" s="22">
        <f>IF(A122="","",IF(OR(K122="",L122="",D122="",E122="",D122="未確認",E122="未確認"),"判定保留",IFERROR(IF(OR(D122="はい",E122="はい"),INDEX('判定表'!$D:$D,MATCH("L|"&amp;INDEX('判定表'!$D:$D,MATCH("D|"&amp;K122&amp;"|"&amp;L122,'判定表'!$A:$A,0)),'判定表'!$A:$A,0)),INDEX('判定表'!$D:$D,MATCH("D|"&amp;K122&amp;"|"&amp;L122,'判定表'!$A:$A,0))),"判定表にない組み合わせ")))</f>
        <v/>
      </c>
      <c r="N122" s="22">
        <f>IF(A122="","",IF(J122="判定保留","判定保留",IFERROR(INDEX('判定表'!$D:$D,MATCH("S|"&amp;J122,'判定表'!$A:$A,0)),"判定表にない回答")))</f>
        <v/>
      </c>
      <c r="O122" s="22">
        <f>IF(A122="","",IF(N122="留保","—",IF(OR(N122="判定保留",M122="判定保留"),"判定保留",IFERROR(INDEX('判定表'!$D:$D,MATCH("T|"&amp;J122&amp;"|"&amp;M122,'判定表'!$A:$A,0)),"判定表にない組み合わせ"))))</f>
        <v/>
      </c>
    </row>
    <row r="123">
      <c r="A123" s="17" t="n"/>
      <c r="B123" s="17" t="n"/>
      <c r="C123" s="17" t="n"/>
      <c r="D123" s="17" t="n"/>
      <c r="E123" s="17" t="n"/>
      <c r="F123" s="29" t="n"/>
      <c r="G123" s="17" t="n"/>
      <c r="H123" s="17" t="n"/>
      <c r="I123" s="17" t="n"/>
      <c r="J123" s="22">
        <f>IF(A123="","",IF(COUNTA(G123:I123)&lt;3,"判定保留",IFERROR(CHOOSE(MAX(INDEX('判定表'!$D:$D,MATCH("E|利用範囲|"&amp;G123,'判定表'!$A:$A,0)),INDEX('判定表'!$D:$D,MATCH("E|データの利用範囲|"&amp;H123,'判定表'!$A:$A,0)),INDEX('判定表'!$D:$D,MATCH("E|環境|"&amp;I123,'判定表'!$A:$A,0)))+1,"低","中","高"),"判定表にない回答")))</f>
        <v/>
      </c>
      <c r="K123" s="17" t="n"/>
      <c r="L123" s="17" t="n"/>
      <c r="M123" s="22">
        <f>IF(A123="","",IF(OR(K123="",L123="",D123="",E123="",D123="未確認",E123="未確認"),"判定保留",IFERROR(IF(OR(D123="はい",E123="はい"),INDEX('判定表'!$D:$D,MATCH("L|"&amp;INDEX('判定表'!$D:$D,MATCH("D|"&amp;K123&amp;"|"&amp;L123,'判定表'!$A:$A,0)),'判定表'!$A:$A,0)),INDEX('判定表'!$D:$D,MATCH("D|"&amp;K123&amp;"|"&amp;L123,'判定表'!$A:$A,0))),"判定表にない組み合わせ")))</f>
        <v/>
      </c>
      <c r="N123" s="22">
        <f>IF(A123="","",IF(J123="判定保留","判定保留",IFERROR(INDEX('判定表'!$D:$D,MATCH("S|"&amp;J123,'判定表'!$A:$A,0)),"判定表にない回答")))</f>
        <v/>
      </c>
      <c r="O123" s="22">
        <f>IF(A123="","",IF(N123="留保","—",IF(OR(N123="判定保留",M123="判定保留"),"判定保留",IFERROR(INDEX('判定表'!$D:$D,MATCH("T|"&amp;J123&amp;"|"&amp;M123,'判定表'!$A:$A,0)),"判定表にない組み合わせ"))))</f>
        <v/>
      </c>
    </row>
    <row r="124">
      <c r="A124" s="17" t="n"/>
      <c r="B124" s="17" t="n"/>
      <c r="C124" s="17" t="n"/>
      <c r="D124" s="17" t="n"/>
      <c r="E124" s="17" t="n"/>
      <c r="F124" s="29" t="n"/>
      <c r="G124" s="17" t="n"/>
      <c r="H124" s="17" t="n"/>
      <c r="I124" s="17" t="n"/>
      <c r="J124" s="22">
        <f>IF(A124="","",IF(COUNTA(G124:I124)&lt;3,"判定保留",IFERROR(CHOOSE(MAX(INDEX('判定表'!$D:$D,MATCH("E|利用範囲|"&amp;G124,'判定表'!$A:$A,0)),INDEX('判定表'!$D:$D,MATCH("E|データの利用範囲|"&amp;H124,'判定表'!$A:$A,0)),INDEX('判定表'!$D:$D,MATCH("E|環境|"&amp;I124,'判定表'!$A:$A,0)))+1,"低","中","高"),"判定表にない回答")))</f>
        <v/>
      </c>
      <c r="K124" s="17" t="n"/>
      <c r="L124" s="17" t="n"/>
      <c r="M124" s="22">
        <f>IF(A124="","",IF(OR(K124="",L124="",D124="",E124="",D124="未確認",E124="未確認"),"判定保留",IFERROR(IF(OR(D124="はい",E124="はい"),INDEX('判定表'!$D:$D,MATCH("L|"&amp;INDEX('判定表'!$D:$D,MATCH("D|"&amp;K124&amp;"|"&amp;L124,'判定表'!$A:$A,0)),'判定表'!$A:$A,0)),INDEX('判定表'!$D:$D,MATCH("D|"&amp;K124&amp;"|"&amp;L124,'判定表'!$A:$A,0))),"判定表にない組み合わせ")))</f>
        <v/>
      </c>
      <c r="N124" s="22">
        <f>IF(A124="","",IF(J124="判定保留","判定保留",IFERROR(INDEX('判定表'!$D:$D,MATCH("S|"&amp;J124,'判定表'!$A:$A,0)),"判定表にない回答")))</f>
        <v/>
      </c>
      <c r="O124" s="22">
        <f>IF(A124="","",IF(N124="留保","—",IF(OR(N124="判定保留",M124="判定保留"),"判定保留",IFERROR(INDEX('判定表'!$D:$D,MATCH("T|"&amp;J124&amp;"|"&amp;M124,'判定表'!$A:$A,0)),"判定表にない組み合わせ"))))</f>
        <v/>
      </c>
    </row>
    <row r="125">
      <c r="A125" s="17" t="n"/>
      <c r="B125" s="17" t="n"/>
      <c r="C125" s="17" t="n"/>
      <c r="D125" s="17" t="n"/>
      <c r="E125" s="17" t="n"/>
      <c r="F125" s="29" t="n"/>
      <c r="G125" s="17" t="n"/>
      <c r="H125" s="17" t="n"/>
      <c r="I125" s="17" t="n"/>
      <c r="J125" s="22">
        <f>IF(A125="","",IF(COUNTA(G125:I125)&lt;3,"判定保留",IFERROR(CHOOSE(MAX(INDEX('判定表'!$D:$D,MATCH("E|利用範囲|"&amp;G125,'判定表'!$A:$A,0)),INDEX('判定表'!$D:$D,MATCH("E|データの利用範囲|"&amp;H125,'判定表'!$A:$A,0)),INDEX('判定表'!$D:$D,MATCH("E|環境|"&amp;I125,'判定表'!$A:$A,0)))+1,"低","中","高"),"判定表にない回答")))</f>
        <v/>
      </c>
      <c r="K125" s="17" t="n"/>
      <c r="L125" s="17" t="n"/>
      <c r="M125" s="22">
        <f>IF(A125="","",IF(OR(K125="",L125="",D125="",E125="",D125="未確認",E125="未確認"),"判定保留",IFERROR(IF(OR(D125="はい",E125="はい"),INDEX('判定表'!$D:$D,MATCH("L|"&amp;INDEX('判定表'!$D:$D,MATCH("D|"&amp;K125&amp;"|"&amp;L125,'判定表'!$A:$A,0)),'判定表'!$A:$A,0)),INDEX('判定表'!$D:$D,MATCH("D|"&amp;K125&amp;"|"&amp;L125,'判定表'!$A:$A,0))),"判定表にない組み合わせ")))</f>
        <v/>
      </c>
      <c r="N125" s="22">
        <f>IF(A125="","",IF(J125="判定保留","判定保留",IFERROR(INDEX('判定表'!$D:$D,MATCH("S|"&amp;J125,'判定表'!$A:$A,0)),"判定表にない回答")))</f>
        <v/>
      </c>
      <c r="O125" s="22">
        <f>IF(A125="","",IF(N125="留保","—",IF(OR(N125="判定保留",M125="判定保留"),"判定保留",IFERROR(INDEX('判定表'!$D:$D,MATCH("T|"&amp;J125&amp;"|"&amp;M125,'判定表'!$A:$A,0)),"判定表にない組み合わせ"))))</f>
        <v/>
      </c>
    </row>
    <row r="126">
      <c r="A126" s="17" t="n"/>
      <c r="B126" s="17" t="n"/>
      <c r="C126" s="17" t="n"/>
      <c r="D126" s="17" t="n"/>
      <c r="E126" s="17" t="n"/>
      <c r="F126" s="29" t="n"/>
      <c r="G126" s="17" t="n"/>
      <c r="H126" s="17" t="n"/>
      <c r="I126" s="17" t="n"/>
      <c r="J126" s="22">
        <f>IF(A126="","",IF(COUNTA(G126:I126)&lt;3,"判定保留",IFERROR(CHOOSE(MAX(INDEX('判定表'!$D:$D,MATCH("E|利用範囲|"&amp;G126,'判定表'!$A:$A,0)),INDEX('判定表'!$D:$D,MATCH("E|データの利用範囲|"&amp;H126,'判定表'!$A:$A,0)),INDEX('判定表'!$D:$D,MATCH("E|環境|"&amp;I126,'判定表'!$A:$A,0)))+1,"低","中","高"),"判定表にない回答")))</f>
        <v/>
      </c>
      <c r="K126" s="17" t="n"/>
      <c r="L126" s="17" t="n"/>
      <c r="M126" s="22">
        <f>IF(A126="","",IF(OR(K126="",L126="",D126="",E126="",D126="未確認",E126="未確認"),"判定保留",IFERROR(IF(OR(D126="はい",E126="はい"),INDEX('判定表'!$D:$D,MATCH("L|"&amp;INDEX('判定表'!$D:$D,MATCH("D|"&amp;K126&amp;"|"&amp;L126,'判定表'!$A:$A,0)),'判定表'!$A:$A,0)),INDEX('判定表'!$D:$D,MATCH("D|"&amp;K126&amp;"|"&amp;L126,'判定表'!$A:$A,0))),"判定表にない組み合わせ")))</f>
        <v/>
      </c>
      <c r="N126" s="22">
        <f>IF(A126="","",IF(J126="判定保留","判定保留",IFERROR(INDEX('判定表'!$D:$D,MATCH("S|"&amp;J126,'判定表'!$A:$A,0)),"判定表にない回答")))</f>
        <v/>
      </c>
      <c r="O126" s="22">
        <f>IF(A126="","",IF(N126="留保","—",IF(OR(N126="判定保留",M126="判定保留"),"判定保留",IFERROR(INDEX('判定表'!$D:$D,MATCH("T|"&amp;J126&amp;"|"&amp;M126,'判定表'!$A:$A,0)),"判定表にない組み合わせ"))))</f>
        <v/>
      </c>
    </row>
    <row r="127">
      <c r="A127" s="17" t="n"/>
      <c r="B127" s="17" t="n"/>
      <c r="C127" s="17" t="n"/>
      <c r="D127" s="17" t="n"/>
      <c r="E127" s="17" t="n"/>
      <c r="F127" s="29" t="n"/>
      <c r="G127" s="17" t="n"/>
      <c r="H127" s="17" t="n"/>
      <c r="I127" s="17" t="n"/>
      <c r="J127" s="22">
        <f>IF(A127="","",IF(COUNTA(G127:I127)&lt;3,"判定保留",IFERROR(CHOOSE(MAX(INDEX('判定表'!$D:$D,MATCH("E|利用範囲|"&amp;G127,'判定表'!$A:$A,0)),INDEX('判定表'!$D:$D,MATCH("E|データの利用範囲|"&amp;H127,'判定表'!$A:$A,0)),INDEX('判定表'!$D:$D,MATCH("E|環境|"&amp;I127,'判定表'!$A:$A,0)))+1,"低","中","高"),"判定表にない回答")))</f>
        <v/>
      </c>
      <c r="K127" s="17" t="n"/>
      <c r="L127" s="17" t="n"/>
      <c r="M127" s="22">
        <f>IF(A127="","",IF(OR(K127="",L127="",D127="",E127="",D127="未確認",E127="未確認"),"判定保留",IFERROR(IF(OR(D127="はい",E127="はい"),INDEX('判定表'!$D:$D,MATCH("L|"&amp;INDEX('判定表'!$D:$D,MATCH("D|"&amp;K127&amp;"|"&amp;L127,'判定表'!$A:$A,0)),'判定表'!$A:$A,0)),INDEX('判定表'!$D:$D,MATCH("D|"&amp;K127&amp;"|"&amp;L127,'判定表'!$A:$A,0))),"判定表にない組み合わせ")))</f>
        <v/>
      </c>
      <c r="N127" s="22">
        <f>IF(A127="","",IF(J127="判定保留","判定保留",IFERROR(INDEX('判定表'!$D:$D,MATCH("S|"&amp;J127,'判定表'!$A:$A,0)),"判定表にない回答")))</f>
        <v/>
      </c>
      <c r="O127" s="22">
        <f>IF(A127="","",IF(N127="留保","—",IF(OR(N127="判定保留",M127="判定保留"),"判定保留",IFERROR(INDEX('判定表'!$D:$D,MATCH("T|"&amp;J127&amp;"|"&amp;M127,'判定表'!$A:$A,0)),"判定表にない組み合わせ"))))</f>
        <v/>
      </c>
    </row>
    <row r="128">
      <c r="A128" s="17" t="n"/>
      <c r="B128" s="17" t="n"/>
      <c r="C128" s="17" t="n"/>
      <c r="D128" s="17" t="n"/>
      <c r="E128" s="17" t="n"/>
      <c r="F128" s="29" t="n"/>
      <c r="G128" s="17" t="n"/>
      <c r="H128" s="17" t="n"/>
      <c r="I128" s="17" t="n"/>
      <c r="J128" s="22">
        <f>IF(A128="","",IF(COUNTA(G128:I128)&lt;3,"判定保留",IFERROR(CHOOSE(MAX(INDEX('判定表'!$D:$D,MATCH("E|利用範囲|"&amp;G128,'判定表'!$A:$A,0)),INDEX('判定表'!$D:$D,MATCH("E|データの利用範囲|"&amp;H128,'判定表'!$A:$A,0)),INDEX('判定表'!$D:$D,MATCH("E|環境|"&amp;I128,'判定表'!$A:$A,0)))+1,"低","中","高"),"判定表にない回答")))</f>
        <v/>
      </c>
      <c r="K128" s="17" t="n"/>
      <c r="L128" s="17" t="n"/>
      <c r="M128" s="22">
        <f>IF(A128="","",IF(OR(K128="",L128="",D128="",E128="",D128="未確認",E128="未確認"),"判定保留",IFERROR(IF(OR(D128="はい",E128="はい"),INDEX('判定表'!$D:$D,MATCH("L|"&amp;INDEX('判定表'!$D:$D,MATCH("D|"&amp;K128&amp;"|"&amp;L128,'判定表'!$A:$A,0)),'判定表'!$A:$A,0)),INDEX('判定表'!$D:$D,MATCH("D|"&amp;K128&amp;"|"&amp;L128,'判定表'!$A:$A,0))),"判定表にない組み合わせ")))</f>
        <v/>
      </c>
      <c r="N128" s="22">
        <f>IF(A128="","",IF(J128="判定保留","判定保留",IFERROR(INDEX('判定表'!$D:$D,MATCH("S|"&amp;J128,'判定表'!$A:$A,0)),"判定表にない回答")))</f>
        <v/>
      </c>
      <c r="O128" s="22">
        <f>IF(A128="","",IF(N128="留保","—",IF(OR(N128="判定保留",M128="判定保留"),"判定保留",IFERROR(INDEX('判定表'!$D:$D,MATCH("T|"&amp;J128&amp;"|"&amp;M128,'判定表'!$A:$A,0)),"判定表にない組み合わせ"))))</f>
        <v/>
      </c>
    </row>
    <row r="129">
      <c r="A129" s="17" t="n"/>
      <c r="B129" s="17" t="n"/>
      <c r="C129" s="17" t="n"/>
      <c r="D129" s="17" t="n"/>
      <c r="E129" s="17" t="n"/>
      <c r="F129" s="29" t="n"/>
      <c r="G129" s="17" t="n"/>
      <c r="H129" s="17" t="n"/>
      <c r="I129" s="17" t="n"/>
      <c r="J129" s="22">
        <f>IF(A129="","",IF(COUNTA(G129:I129)&lt;3,"判定保留",IFERROR(CHOOSE(MAX(INDEX('判定表'!$D:$D,MATCH("E|利用範囲|"&amp;G129,'判定表'!$A:$A,0)),INDEX('判定表'!$D:$D,MATCH("E|データの利用範囲|"&amp;H129,'判定表'!$A:$A,0)),INDEX('判定表'!$D:$D,MATCH("E|環境|"&amp;I129,'判定表'!$A:$A,0)))+1,"低","中","高"),"判定表にない回答")))</f>
        <v/>
      </c>
      <c r="K129" s="17" t="n"/>
      <c r="L129" s="17" t="n"/>
      <c r="M129" s="22">
        <f>IF(A129="","",IF(OR(K129="",L129="",D129="",E129="",D129="未確認",E129="未確認"),"判定保留",IFERROR(IF(OR(D129="はい",E129="はい"),INDEX('判定表'!$D:$D,MATCH("L|"&amp;INDEX('判定表'!$D:$D,MATCH("D|"&amp;K129&amp;"|"&amp;L129,'判定表'!$A:$A,0)),'判定表'!$A:$A,0)),INDEX('判定表'!$D:$D,MATCH("D|"&amp;K129&amp;"|"&amp;L129,'判定表'!$A:$A,0))),"判定表にない組み合わせ")))</f>
        <v/>
      </c>
      <c r="N129" s="22">
        <f>IF(A129="","",IF(J129="判定保留","判定保留",IFERROR(INDEX('判定表'!$D:$D,MATCH("S|"&amp;J129,'判定表'!$A:$A,0)),"判定表にない回答")))</f>
        <v/>
      </c>
      <c r="O129" s="22">
        <f>IF(A129="","",IF(N129="留保","—",IF(OR(N129="判定保留",M129="判定保留"),"判定保留",IFERROR(INDEX('判定表'!$D:$D,MATCH("T|"&amp;J129&amp;"|"&amp;M129,'判定表'!$A:$A,0)),"判定表にない組み合わせ"))))</f>
        <v/>
      </c>
    </row>
    <row r="130">
      <c r="A130" s="17" t="n"/>
      <c r="B130" s="17" t="n"/>
      <c r="C130" s="17" t="n"/>
      <c r="D130" s="17" t="n"/>
      <c r="E130" s="17" t="n"/>
      <c r="F130" s="29" t="n"/>
      <c r="G130" s="17" t="n"/>
      <c r="H130" s="17" t="n"/>
      <c r="I130" s="17" t="n"/>
      <c r="J130" s="22">
        <f>IF(A130="","",IF(COUNTA(G130:I130)&lt;3,"判定保留",IFERROR(CHOOSE(MAX(INDEX('判定表'!$D:$D,MATCH("E|利用範囲|"&amp;G130,'判定表'!$A:$A,0)),INDEX('判定表'!$D:$D,MATCH("E|データの利用範囲|"&amp;H130,'判定表'!$A:$A,0)),INDEX('判定表'!$D:$D,MATCH("E|環境|"&amp;I130,'判定表'!$A:$A,0)))+1,"低","中","高"),"判定表にない回答")))</f>
        <v/>
      </c>
      <c r="K130" s="17" t="n"/>
      <c r="L130" s="17" t="n"/>
      <c r="M130" s="22">
        <f>IF(A130="","",IF(OR(K130="",L130="",D130="",E130="",D130="未確認",E130="未確認"),"判定保留",IFERROR(IF(OR(D130="はい",E130="はい"),INDEX('判定表'!$D:$D,MATCH("L|"&amp;INDEX('判定表'!$D:$D,MATCH("D|"&amp;K130&amp;"|"&amp;L130,'判定表'!$A:$A,0)),'判定表'!$A:$A,0)),INDEX('判定表'!$D:$D,MATCH("D|"&amp;K130&amp;"|"&amp;L130,'判定表'!$A:$A,0))),"判定表にない組み合わせ")))</f>
        <v/>
      </c>
      <c r="N130" s="22">
        <f>IF(A130="","",IF(J130="判定保留","判定保留",IFERROR(INDEX('判定表'!$D:$D,MATCH("S|"&amp;J130,'判定表'!$A:$A,0)),"判定表にない回答")))</f>
        <v/>
      </c>
      <c r="O130" s="22">
        <f>IF(A130="","",IF(N130="留保","—",IF(OR(N130="判定保留",M130="判定保留"),"判定保留",IFERROR(INDEX('判定表'!$D:$D,MATCH("T|"&amp;J130&amp;"|"&amp;M130,'判定表'!$A:$A,0)),"判定表にない組み合わせ"))))</f>
        <v/>
      </c>
    </row>
    <row r="131">
      <c r="A131" s="17" t="n"/>
      <c r="B131" s="17" t="n"/>
      <c r="C131" s="17" t="n"/>
      <c r="D131" s="17" t="n"/>
      <c r="E131" s="17" t="n"/>
      <c r="F131" s="29" t="n"/>
      <c r="G131" s="17" t="n"/>
      <c r="H131" s="17" t="n"/>
      <c r="I131" s="17" t="n"/>
      <c r="J131" s="22">
        <f>IF(A131="","",IF(COUNTA(G131:I131)&lt;3,"判定保留",IFERROR(CHOOSE(MAX(INDEX('判定表'!$D:$D,MATCH("E|利用範囲|"&amp;G131,'判定表'!$A:$A,0)),INDEX('判定表'!$D:$D,MATCH("E|データの利用範囲|"&amp;H131,'判定表'!$A:$A,0)),INDEX('判定表'!$D:$D,MATCH("E|環境|"&amp;I131,'判定表'!$A:$A,0)))+1,"低","中","高"),"判定表にない回答")))</f>
        <v/>
      </c>
      <c r="K131" s="17" t="n"/>
      <c r="L131" s="17" t="n"/>
      <c r="M131" s="22">
        <f>IF(A131="","",IF(OR(K131="",L131="",D131="",E131="",D131="未確認",E131="未確認"),"判定保留",IFERROR(IF(OR(D131="はい",E131="はい"),INDEX('判定表'!$D:$D,MATCH("L|"&amp;INDEX('判定表'!$D:$D,MATCH("D|"&amp;K131&amp;"|"&amp;L131,'判定表'!$A:$A,0)),'判定表'!$A:$A,0)),INDEX('判定表'!$D:$D,MATCH("D|"&amp;K131&amp;"|"&amp;L131,'判定表'!$A:$A,0))),"判定表にない組み合わせ")))</f>
        <v/>
      </c>
      <c r="N131" s="22">
        <f>IF(A131="","",IF(J131="判定保留","判定保留",IFERROR(INDEX('判定表'!$D:$D,MATCH("S|"&amp;J131,'判定表'!$A:$A,0)),"判定表にない回答")))</f>
        <v/>
      </c>
      <c r="O131" s="22">
        <f>IF(A131="","",IF(N131="留保","—",IF(OR(N131="判定保留",M131="判定保留"),"判定保留",IFERROR(INDEX('判定表'!$D:$D,MATCH("T|"&amp;J131&amp;"|"&amp;M131,'判定表'!$A:$A,0)),"判定表にない組み合わせ"))))</f>
        <v/>
      </c>
    </row>
    <row r="132">
      <c r="A132" s="17" t="n"/>
      <c r="B132" s="17" t="n"/>
      <c r="C132" s="17" t="n"/>
      <c r="D132" s="17" t="n"/>
      <c r="E132" s="17" t="n"/>
      <c r="F132" s="29" t="n"/>
      <c r="G132" s="17" t="n"/>
      <c r="H132" s="17" t="n"/>
      <c r="I132" s="17" t="n"/>
      <c r="J132" s="22">
        <f>IF(A132="","",IF(COUNTA(G132:I132)&lt;3,"判定保留",IFERROR(CHOOSE(MAX(INDEX('判定表'!$D:$D,MATCH("E|利用範囲|"&amp;G132,'判定表'!$A:$A,0)),INDEX('判定表'!$D:$D,MATCH("E|データの利用範囲|"&amp;H132,'判定表'!$A:$A,0)),INDEX('判定表'!$D:$D,MATCH("E|環境|"&amp;I132,'判定表'!$A:$A,0)))+1,"低","中","高"),"判定表にない回答")))</f>
        <v/>
      </c>
      <c r="K132" s="17" t="n"/>
      <c r="L132" s="17" t="n"/>
      <c r="M132" s="22">
        <f>IF(A132="","",IF(OR(K132="",L132="",D132="",E132="",D132="未確認",E132="未確認"),"判定保留",IFERROR(IF(OR(D132="はい",E132="はい"),INDEX('判定表'!$D:$D,MATCH("L|"&amp;INDEX('判定表'!$D:$D,MATCH("D|"&amp;K132&amp;"|"&amp;L132,'判定表'!$A:$A,0)),'判定表'!$A:$A,0)),INDEX('判定表'!$D:$D,MATCH("D|"&amp;K132&amp;"|"&amp;L132,'判定表'!$A:$A,0))),"判定表にない組み合わせ")))</f>
        <v/>
      </c>
      <c r="N132" s="22">
        <f>IF(A132="","",IF(J132="判定保留","判定保留",IFERROR(INDEX('判定表'!$D:$D,MATCH("S|"&amp;J132,'判定表'!$A:$A,0)),"判定表にない回答")))</f>
        <v/>
      </c>
      <c r="O132" s="22">
        <f>IF(A132="","",IF(N132="留保","—",IF(OR(N132="判定保留",M132="判定保留"),"判定保留",IFERROR(INDEX('判定表'!$D:$D,MATCH("T|"&amp;J132&amp;"|"&amp;M132,'判定表'!$A:$A,0)),"判定表にない組み合わせ"))))</f>
        <v/>
      </c>
    </row>
    <row r="133">
      <c r="A133" s="17" t="n"/>
      <c r="B133" s="17" t="n"/>
      <c r="C133" s="17" t="n"/>
      <c r="D133" s="17" t="n"/>
      <c r="E133" s="17" t="n"/>
      <c r="F133" s="29" t="n"/>
      <c r="G133" s="17" t="n"/>
      <c r="H133" s="17" t="n"/>
      <c r="I133" s="17" t="n"/>
      <c r="J133" s="22">
        <f>IF(A133="","",IF(COUNTA(G133:I133)&lt;3,"判定保留",IFERROR(CHOOSE(MAX(INDEX('判定表'!$D:$D,MATCH("E|利用範囲|"&amp;G133,'判定表'!$A:$A,0)),INDEX('判定表'!$D:$D,MATCH("E|データの利用範囲|"&amp;H133,'判定表'!$A:$A,0)),INDEX('判定表'!$D:$D,MATCH("E|環境|"&amp;I133,'判定表'!$A:$A,0)))+1,"低","中","高"),"判定表にない回答")))</f>
        <v/>
      </c>
      <c r="K133" s="17" t="n"/>
      <c r="L133" s="17" t="n"/>
      <c r="M133" s="22">
        <f>IF(A133="","",IF(OR(K133="",L133="",D133="",E133="",D133="未確認",E133="未確認"),"判定保留",IFERROR(IF(OR(D133="はい",E133="はい"),INDEX('判定表'!$D:$D,MATCH("L|"&amp;INDEX('判定表'!$D:$D,MATCH("D|"&amp;K133&amp;"|"&amp;L133,'判定表'!$A:$A,0)),'判定表'!$A:$A,0)),INDEX('判定表'!$D:$D,MATCH("D|"&amp;K133&amp;"|"&amp;L133,'判定表'!$A:$A,0))),"判定表にない組み合わせ")))</f>
        <v/>
      </c>
      <c r="N133" s="22">
        <f>IF(A133="","",IF(J133="判定保留","判定保留",IFERROR(INDEX('判定表'!$D:$D,MATCH("S|"&amp;J133,'判定表'!$A:$A,0)),"判定表にない回答")))</f>
        <v/>
      </c>
      <c r="O133" s="22">
        <f>IF(A133="","",IF(N133="留保","—",IF(OR(N133="判定保留",M133="判定保留"),"判定保留",IFERROR(INDEX('判定表'!$D:$D,MATCH("T|"&amp;J133&amp;"|"&amp;M133,'判定表'!$A:$A,0)),"判定表にない組み合わせ"))))</f>
        <v/>
      </c>
    </row>
    <row r="134">
      <c r="A134" s="17" t="n"/>
      <c r="B134" s="17" t="n"/>
      <c r="C134" s="17" t="n"/>
      <c r="D134" s="17" t="n"/>
      <c r="E134" s="17" t="n"/>
      <c r="F134" s="29" t="n"/>
      <c r="G134" s="17" t="n"/>
      <c r="H134" s="17" t="n"/>
      <c r="I134" s="17" t="n"/>
      <c r="J134" s="22">
        <f>IF(A134="","",IF(COUNTA(G134:I134)&lt;3,"判定保留",IFERROR(CHOOSE(MAX(INDEX('判定表'!$D:$D,MATCH("E|利用範囲|"&amp;G134,'判定表'!$A:$A,0)),INDEX('判定表'!$D:$D,MATCH("E|データの利用範囲|"&amp;H134,'判定表'!$A:$A,0)),INDEX('判定表'!$D:$D,MATCH("E|環境|"&amp;I134,'判定表'!$A:$A,0)))+1,"低","中","高"),"判定表にない回答")))</f>
        <v/>
      </c>
      <c r="K134" s="17" t="n"/>
      <c r="L134" s="17" t="n"/>
      <c r="M134" s="22">
        <f>IF(A134="","",IF(OR(K134="",L134="",D134="",E134="",D134="未確認",E134="未確認"),"判定保留",IFERROR(IF(OR(D134="はい",E134="はい"),INDEX('判定表'!$D:$D,MATCH("L|"&amp;INDEX('判定表'!$D:$D,MATCH("D|"&amp;K134&amp;"|"&amp;L134,'判定表'!$A:$A,0)),'判定表'!$A:$A,0)),INDEX('判定表'!$D:$D,MATCH("D|"&amp;K134&amp;"|"&amp;L134,'判定表'!$A:$A,0))),"判定表にない組み合わせ")))</f>
        <v/>
      </c>
      <c r="N134" s="22">
        <f>IF(A134="","",IF(J134="判定保留","判定保留",IFERROR(INDEX('判定表'!$D:$D,MATCH("S|"&amp;J134,'判定表'!$A:$A,0)),"判定表にない回答")))</f>
        <v/>
      </c>
      <c r="O134" s="22">
        <f>IF(A134="","",IF(N134="留保","—",IF(OR(N134="判定保留",M134="判定保留"),"判定保留",IFERROR(INDEX('判定表'!$D:$D,MATCH("T|"&amp;J134&amp;"|"&amp;M134,'判定表'!$A:$A,0)),"判定表にない組み合わせ"))))</f>
        <v/>
      </c>
    </row>
    <row r="135">
      <c r="A135" s="17" t="n"/>
      <c r="B135" s="17" t="n"/>
      <c r="C135" s="17" t="n"/>
      <c r="D135" s="17" t="n"/>
      <c r="E135" s="17" t="n"/>
      <c r="F135" s="29" t="n"/>
      <c r="G135" s="17" t="n"/>
      <c r="H135" s="17" t="n"/>
      <c r="I135" s="17" t="n"/>
      <c r="J135" s="22">
        <f>IF(A135="","",IF(COUNTA(G135:I135)&lt;3,"判定保留",IFERROR(CHOOSE(MAX(INDEX('判定表'!$D:$D,MATCH("E|利用範囲|"&amp;G135,'判定表'!$A:$A,0)),INDEX('判定表'!$D:$D,MATCH("E|データの利用範囲|"&amp;H135,'判定表'!$A:$A,0)),INDEX('判定表'!$D:$D,MATCH("E|環境|"&amp;I135,'判定表'!$A:$A,0)))+1,"低","中","高"),"判定表にない回答")))</f>
        <v/>
      </c>
      <c r="K135" s="17" t="n"/>
      <c r="L135" s="17" t="n"/>
      <c r="M135" s="22">
        <f>IF(A135="","",IF(OR(K135="",L135="",D135="",E135="",D135="未確認",E135="未確認"),"判定保留",IFERROR(IF(OR(D135="はい",E135="はい"),INDEX('判定表'!$D:$D,MATCH("L|"&amp;INDEX('判定表'!$D:$D,MATCH("D|"&amp;K135&amp;"|"&amp;L135,'判定表'!$A:$A,0)),'判定表'!$A:$A,0)),INDEX('判定表'!$D:$D,MATCH("D|"&amp;K135&amp;"|"&amp;L135,'判定表'!$A:$A,0))),"判定表にない組み合わせ")))</f>
        <v/>
      </c>
      <c r="N135" s="22">
        <f>IF(A135="","",IF(J135="判定保留","判定保留",IFERROR(INDEX('判定表'!$D:$D,MATCH("S|"&amp;J135,'判定表'!$A:$A,0)),"判定表にない回答")))</f>
        <v/>
      </c>
      <c r="O135" s="22">
        <f>IF(A135="","",IF(N135="留保","—",IF(OR(N135="判定保留",M135="判定保留"),"判定保留",IFERROR(INDEX('判定表'!$D:$D,MATCH("T|"&amp;J135&amp;"|"&amp;M135,'判定表'!$A:$A,0)),"判定表にない組み合わせ"))))</f>
        <v/>
      </c>
    </row>
    <row r="136">
      <c r="A136" s="17" t="n"/>
      <c r="B136" s="17" t="n"/>
      <c r="C136" s="17" t="n"/>
      <c r="D136" s="17" t="n"/>
      <c r="E136" s="17" t="n"/>
      <c r="F136" s="29" t="n"/>
      <c r="G136" s="17" t="n"/>
      <c r="H136" s="17" t="n"/>
      <c r="I136" s="17" t="n"/>
      <c r="J136" s="22">
        <f>IF(A136="","",IF(COUNTA(G136:I136)&lt;3,"判定保留",IFERROR(CHOOSE(MAX(INDEX('判定表'!$D:$D,MATCH("E|利用範囲|"&amp;G136,'判定表'!$A:$A,0)),INDEX('判定表'!$D:$D,MATCH("E|データの利用範囲|"&amp;H136,'判定表'!$A:$A,0)),INDEX('判定表'!$D:$D,MATCH("E|環境|"&amp;I136,'判定表'!$A:$A,0)))+1,"低","中","高"),"判定表にない回答")))</f>
        <v/>
      </c>
      <c r="K136" s="17" t="n"/>
      <c r="L136" s="17" t="n"/>
      <c r="M136" s="22">
        <f>IF(A136="","",IF(OR(K136="",L136="",D136="",E136="",D136="未確認",E136="未確認"),"判定保留",IFERROR(IF(OR(D136="はい",E136="はい"),INDEX('判定表'!$D:$D,MATCH("L|"&amp;INDEX('判定表'!$D:$D,MATCH("D|"&amp;K136&amp;"|"&amp;L136,'判定表'!$A:$A,0)),'判定表'!$A:$A,0)),INDEX('判定表'!$D:$D,MATCH("D|"&amp;K136&amp;"|"&amp;L136,'判定表'!$A:$A,0))),"判定表にない組み合わせ")))</f>
        <v/>
      </c>
      <c r="N136" s="22">
        <f>IF(A136="","",IF(J136="判定保留","判定保留",IFERROR(INDEX('判定表'!$D:$D,MATCH("S|"&amp;J136,'判定表'!$A:$A,0)),"判定表にない回答")))</f>
        <v/>
      </c>
      <c r="O136" s="22">
        <f>IF(A136="","",IF(N136="留保","—",IF(OR(N136="判定保留",M136="判定保留"),"判定保留",IFERROR(INDEX('判定表'!$D:$D,MATCH("T|"&amp;J136&amp;"|"&amp;M136,'判定表'!$A:$A,0)),"判定表にない組み合わせ"))))</f>
        <v/>
      </c>
    </row>
    <row r="137">
      <c r="A137" s="17" t="n"/>
      <c r="B137" s="17" t="n"/>
      <c r="C137" s="17" t="n"/>
      <c r="D137" s="17" t="n"/>
      <c r="E137" s="17" t="n"/>
      <c r="F137" s="29" t="n"/>
      <c r="G137" s="17" t="n"/>
      <c r="H137" s="17" t="n"/>
      <c r="I137" s="17" t="n"/>
      <c r="J137" s="22">
        <f>IF(A137="","",IF(COUNTA(G137:I137)&lt;3,"判定保留",IFERROR(CHOOSE(MAX(INDEX('判定表'!$D:$D,MATCH("E|利用範囲|"&amp;G137,'判定表'!$A:$A,0)),INDEX('判定表'!$D:$D,MATCH("E|データの利用範囲|"&amp;H137,'判定表'!$A:$A,0)),INDEX('判定表'!$D:$D,MATCH("E|環境|"&amp;I137,'判定表'!$A:$A,0)))+1,"低","中","高"),"判定表にない回答")))</f>
        <v/>
      </c>
      <c r="K137" s="17" t="n"/>
      <c r="L137" s="17" t="n"/>
      <c r="M137" s="22">
        <f>IF(A137="","",IF(OR(K137="",L137="",D137="",E137="",D137="未確認",E137="未確認"),"判定保留",IFERROR(IF(OR(D137="はい",E137="はい"),INDEX('判定表'!$D:$D,MATCH("L|"&amp;INDEX('判定表'!$D:$D,MATCH("D|"&amp;K137&amp;"|"&amp;L137,'判定表'!$A:$A,0)),'判定表'!$A:$A,0)),INDEX('判定表'!$D:$D,MATCH("D|"&amp;K137&amp;"|"&amp;L137,'判定表'!$A:$A,0))),"判定表にない組み合わせ")))</f>
        <v/>
      </c>
      <c r="N137" s="22">
        <f>IF(A137="","",IF(J137="判定保留","判定保留",IFERROR(INDEX('判定表'!$D:$D,MATCH("S|"&amp;J137,'判定表'!$A:$A,0)),"判定表にない回答")))</f>
        <v/>
      </c>
      <c r="O137" s="22">
        <f>IF(A137="","",IF(N137="留保","—",IF(OR(N137="判定保留",M137="判定保留"),"判定保留",IFERROR(INDEX('判定表'!$D:$D,MATCH("T|"&amp;J137&amp;"|"&amp;M137,'判定表'!$A:$A,0)),"判定表にない組み合わせ"))))</f>
        <v/>
      </c>
    </row>
    <row r="138">
      <c r="A138" s="17" t="n"/>
      <c r="B138" s="17" t="n"/>
      <c r="C138" s="17" t="n"/>
      <c r="D138" s="17" t="n"/>
      <c r="E138" s="17" t="n"/>
      <c r="F138" s="29" t="n"/>
      <c r="G138" s="17" t="n"/>
      <c r="H138" s="17" t="n"/>
      <c r="I138" s="17" t="n"/>
      <c r="J138" s="22">
        <f>IF(A138="","",IF(COUNTA(G138:I138)&lt;3,"判定保留",IFERROR(CHOOSE(MAX(INDEX('判定表'!$D:$D,MATCH("E|利用範囲|"&amp;G138,'判定表'!$A:$A,0)),INDEX('判定表'!$D:$D,MATCH("E|データの利用範囲|"&amp;H138,'判定表'!$A:$A,0)),INDEX('判定表'!$D:$D,MATCH("E|環境|"&amp;I138,'判定表'!$A:$A,0)))+1,"低","中","高"),"判定表にない回答")))</f>
        <v/>
      </c>
      <c r="K138" s="17" t="n"/>
      <c r="L138" s="17" t="n"/>
      <c r="M138" s="22">
        <f>IF(A138="","",IF(OR(K138="",L138="",D138="",E138="",D138="未確認",E138="未確認"),"判定保留",IFERROR(IF(OR(D138="はい",E138="はい"),INDEX('判定表'!$D:$D,MATCH("L|"&amp;INDEX('判定表'!$D:$D,MATCH("D|"&amp;K138&amp;"|"&amp;L138,'判定表'!$A:$A,0)),'判定表'!$A:$A,0)),INDEX('判定表'!$D:$D,MATCH("D|"&amp;K138&amp;"|"&amp;L138,'判定表'!$A:$A,0))),"判定表にない組み合わせ")))</f>
        <v/>
      </c>
      <c r="N138" s="22">
        <f>IF(A138="","",IF(J138="判定保留","判定保留",IFERROR(INDEX('判定表'!$D:$D,MATCH("S|"&amp;J138,'判定表'!$A:$A,0)),"判定表にない回答")))</f>
        <v/>
      </c>
      <c r="O138" s="22">
        <f>IF(A138="","",IF(N138="留保","—",IF(OR(N138="判定保留",M138="判定保留"),"判定保留",IFERROR(INDEX('判定表'!$D:$D,MATCH("T|"&amp;J138&amp;"|"&amp;M138,'判定表'!$A:$A,0)),"判定表にない組み合わせ"))))</f>
        <v/>
      </c>
    </row>
    <row r="139">
      <c r="A139" s="17" t="n"/>
      <c r="B139" s="17" t="n"/>
      <c r="C139" s="17" t="n"/>
      <c r="D139" s="17" t="n"/>
      <c r="E139" s="17" t="n"/>
      <c r="F139" s="29" t="n"/>
      <c r="G139" s="17" t="n"/>
      <c r="H139" s="17" t="n"/>
      <c r="I139" s="17" t="n"/>
      <c r="J139" s="22">
        <f>IF(A139="","",IF(COUNTA(G139:I139)&lt;3,"判定保留",IFERROR(CHOOSE(MAX(INDEX('判定表'!$D:$D,MATCH("E|利用範囲|"&amp;G139,'判定表'!$A:$A,0)),INDEX('判定表'!$D:$D,MATCH("E|データの利用範囲|"&amp;H139,'判定表'!$A:$A,0)),INDEX('判定表'!$D:$D,MATCH("E|環境|"&amp;I139,'判定表'!$A:$A,0)))+1,"低","中","高"),"判定表にない回答")))</f>
        <v/>
      </c>
      <c r="K139" s="17" t="n"/>
      <c r="L139" s="17" t="n"/>
      <c r="M139" s="22">
        <f>IF(A139="","",IF(OR(K139="",L139="",D139="",E139="",D139="未確認",E139="未確認"),"判定保留",IFERROR(IF(OR(D139="はい",E139="はい"),INDEX('判定表'!$D:$D,MATCH("L|"&amp;INDEX('判定表'!$D:$D,MATCH("D|"&amp;K139&amp;"|"&amp;L139,'判定表'!$A:$A,0)),'判定表'!$A:$A,0)),INDEX('判定表'!$D:$D,MATCH("D|"&amp;K139&amp;"|"&amp;L139,'判定表'!$A:$A,0))),"判定表にない組み合わせ")))</f>
        <v/>
      </c>
      <c r="N139" s="22">
        <f>IF(A139="","",IF(J139="判定保留","判定保留",IFERROR(INDEX('判定表'!$D:$D,MATCH("S|"&amp;J139,'判定表'!$A:$A,0)),"判定表にない回答")))</f>
        <v/>
      </c>
      <c r="O139" s="22">
        <f>IF(A139="","",IF(N139="留保","—",IF(OR(N139="判定保留",M139="判定保留"),"判定保留",IFERROR(INDEX('判定表'!$D:$D,MATCH("T|"&amp;J139&amp;"|"&amp;M139,'判定表'!$A:$A,0)),"判定表にない組み合わせ"))))</f>
        <v/>
      </c>
    </row>
    <row r="140">
      <c r="A140" s="17" t="n"/>
      <c r="B140" s="17" t="n"/>
      <c r="C140" s="17" t="n"/>
      <c r="D140" s="17" t="n"/>
      <c r="E140" s="17" t="n"/>
      <c r="F140" s="29" t="n"/>
      <c r="G140" s="17" t="n"/>
      <c r="H140" s="17" t="n"/>
      <c r="I140" s="17" t="n"/>
      <c r="J140" s="22">
        <f>IF(A140="","",IF(COUNTA(G140:I140)&lt;3,"判定保留",IFERROR(CHOOSE(MAX(INDEX('判定表'!$D:$D,MATCH("E|利用範囲|"&amp;G140,'判定表'!$A:$A,0)),INDEX('判定表'!$D:$D,MATCH("E|データの利用範囲|"&amp;H140,'判定表'!$A:$A,0)),INDEX('判定表'!$D:$D,MATCH("E|環境|"&amp;I140,'判定表'!$A:$A,0)))+1,"低","中","高"),"判定表にない回答")))</f>
        <v/>
      </c>
      <c r="K140" s="17" t="n"/>
      <c r="L140" s="17" t="n"/>
      <c r="M140" s="22">
        <f>IF(A140="","",IF(OR(K140="",L140="",D140="",E140="",D140="未確認",E140="未確認"),"判定保留",IFERROR(IF(OR(D140="はい",E140="はい"),INDEX('判定表'!$D:$D,MATCH("L|"&amp;INDEX('判定表'!$D:$D,MATCH("D|"&amp;K140&amp;"|"&amp;L140,'判定表'!$A:$A,0)),'判定表'!$A:$A,0)),INDEX('判定表'!$D:$D,MATCH("D|"&amp;K140&amp;"|"&amp;L140,'判定表'!$A:$A,0))),"判定表にない組み合わせ")))</f>
        <v/>
      </c>
      <c r="N140" s="22">
        <f>IF(A140="","",IF(J140="判定保留","判定保留",IFERROR(INDEX('判定表'!$D:$D,MATCH("S|"&amp;J140,'判定表'!$A:$A,0)),"判定表にない回答")))</f>
        <v/>
      </c>
      <c r="O140" s="22">
        <f>IF(A140="","",IF(N140="留保","—",IF(OR(N140="判定保留",M140="判定保留"),"判定保留",IFERROR(INDEX('判定表'!$D:$D,MATCH("T|"&amp;J140&amp;"|"&amp;M140,'判定表'!$A:$A,0)),"判定表にない組み合わせ"))))</f>
        <v/>
      </c>
    </row>
    <row r="141">
      <c r="A141" s="17" t="n"/>
      <c r="B141" s="17" t="n"/>
      <c r="C141" s="17" t="n"/>
      <c r="D141" s="17" t="n"/>
      <c r="E141" s="17" t="n"/>
      <c r="F141" s="29" t="n"/>
      <c r="G141" s="17" t="n"/>
      <c r="H141" s="17" t="n"/>
      <c r="I141" s="17" t="n"/>
      <c r="J141" s="22">
        <f>IF(A141="","",IF(COUNTA(G141:I141)&lt;3,"判定保留",IFERROR(CHOOSE(MAX(INDEX('判定表'!$D:$D,MATCH("E|利用範囲|"&amp;G141,'判定表'!$A:$A,0)),INDEX('判定表'!$D:$D,MATCH("E|データの利用範囲|"&amp;H141,'判定表'!$A:$A,0)),INDEX('判定表'!$D:$D,MATCH("E|環境|"&amp;I141,'判定表'!$A:$A,0)))+1,"低","中","高"),"判定表にない回答")))</f>
        <v/>
      </c>
      <c r="K141" s="17" t="n"/>
      <c r="L141" s="17" t="n"/>
      <c r="M141" s="22">
        <f>IF(A141="","",IF(OR(K141="",L141="",D141="",E141="",D141="未確認",E141="未確認"),"判定保留",IFERROR(IF(OR(D141="はい",E141="はい"),INDEX('判定表'!$D:$D,MATCH("L|"&amp;INDEX('判定表'!$D:$D,MATCH("D|"&amp;K141&amp;"|"&amp;L141,'判定表'!$A:$A,0)),'判定表'!$A:$A,0)),INDEX('判定表'!$D:$D,MATCH("D|"&amp;K141&amp;"|"&amp;L141,'判定表'!$A:$A,0))),"判定表にない組み合わせ")))</f>
        <v/>
      </c>
      <c r="N141" s="22">
        <f>IF(A141="","",IF(J141="判定保留","判定保留",IFERROR(INDEX('判定表'!$D:$D,MATCH("S|"&amp;J141,'判定表'!$A:$A,0)),"判定表にない回答")))</f>
        <v/>
      </c>
      <c r="O141" s="22">
        <f>IF(A141="","",IF(N141="留保","—",IF(OR(N141="判定保留",M141="判定保留"),"判定保留",IFERROR(INDEX('判定表'!$D:$D,MATCH("T|"&amp;J141&amp;"|"&amp;M141,'判定表'!$A:$A,0)),"判定表にない組み合わせ"))))</f>
        <v/>
      </c>
    </row>
    <row r="142">
      <c r="A142" s="17" t="n"/>
      <c r="B142" s="17" t="n"/>
      <c r="C142" s="17" t="n"/>
      <c r="D142" s="17" t="n"/>
      <c r="E142" s="17" t="n"/>
      <c r="F142" s="29" t="n"/>
      <c r="G142" s="17" t="n"/>
      <c r="H142" s="17" t="n"/>
      <c r="I142" s="17" t="n"/>
      <c r="J142" s="22">
        <f>IF(A142="","",IF(COUNTA(G142:I142)&lt;3,"判定保留",IFERROR(CHOOSE(MAX(INDEX('判定表'!$D:$D,MATCH("E|利用範囲|"&amp;G142,'判定表'!$A:$A,0)),INDEX('判定表'!$D:$D,MATCH("E|データの利用範囲|"&amp;H142,'判定表'!$A:$A,0)),INDEX('判定表'!$D:$D,MATCH("E|環境|"&amp;I142,'判定表'!$A:$A,0)))+1,"低","中","高"),"判定表にない回答")))</f>
        <v/>
      </c>
      <c r="K142" s="17" t="n"/>
      <c r="L142" s="17" t="n"/>
      <c r="M142" s="22">
        <f>IF(A142="","",IF(OR(K142="",L142="",D142="",E142="",D142="未確認",E142="未確認"),"判定保留",IFERROR(IF(OR(D142="はい",E142="はい"),INDEX('判定表'!$D:$D,MATCH("L|"&amp;INDEX('判定表'!$D:$D,MATCH("D|"&amp;K142&amp;"|"&amp;L142,'判定表'!$A:$A,0)),'判定表'!$A:$A,0)),INDEX('判定表'!$D:$D,MATCH("D|"&amp;K142&amp;"|"&amp;L142,'判定表'!$A:$A,0))),"判定表にない組み合わせ")))</f>
        <v/>
      </c>
      <c r="N142" s="22">
        <f>IF(A142="","",IF(J142="判定保留","判定保留",IFERROR(INDEX('判定表'!$D:$D,MATCH("S|"&amp;J142,'判定表'!$A:$A,0)),"判定表にない回答")))</f>
        <v/>
      </c>
      <c r="O142" s="22">
        <f>IF(A142="","",IF(N142="留保","—",IF(OR(N142="判定保留",M142="判定保留"),"判定保留",IFERROR(INDEX('判定表'!$D:$D,MATCH("T|"&amp;J142&amp;"|"&amp;M142,'判定表'!$A:$A,0)),"判定表にない組み合わせ"))))</f>
        <v/>
      </c>
    </row>
    <row r="143">
      <c r="A143" s="17" t="n"/>
      <c r="B143" s="17" t="n"/>
      <c r="C143" s="17" t="n"/>
      <c r="D143" s="17" t="n"/>
      <c r="E143" s="17" t="n"/>
      <c r="F143" s="29" t="n"/>
      <c r="G143" s="17" t="n"/>
      <c r="H143" s="17" t="n"/>
      <c r="I143" s="17" t="n"/>
      <c r="J143" s="22">
        <f>IF(A143="","",IF(COUNTA(G143:I143)&lt;3,"判定保留",IFERROR(CHOOSE(MAX(INDEX('判定表'!$D:$D,MATCH("E|利用範囲|"&amp;G143,'判定表'!$A:$A,0)),INDEX('判定表'!$D:$D,MATCH("E|データの利用範囲|"&amp;H143,'判定表'!$A:$A,0)),INDEX('判定表'!$D:$D,MATCH("E|環境|"&amp;I143,'判定表'!$A:$A,0)))+1,"低","中","高"),"判定表にない回答")))</f>
        <v/>
      </c>
      <c r="K143" s="17" t="n"/>
      <c r="L143" s="17" t="n"/>
      <c r="M143" s="22">
        <f>IF(A143="","",IF(OR(K143="",L143="",D143="",E143="",D143="未確認",E143="未確認"),"判定保留",IFERROR(IF(OR(D143="はい",E143="はい"),INDEX('判定表'!$D:$D,MATCH("L|"&amp;INDEX('判定表'!$D:$D,MATCH("D|"&amp;K143&amp;"|"&amp;L143,'判定表'!$A:$A,0)),'判定表'!$A:$A,0)),INDEX('判定表'!$D:$D,MATCH("D|"&amp;K143&amp;"|"&amp;L143,'判定表'!$A:$A,0))),"判定表にない組み合わせ")))</f>
        <v/>
      </c>
      <c r="N143" s="22">
        <f>IF(A143="","",IF(J143="判定保留","判定保留",IFERROR(INDEX('判定表'!$D:$D,MATCH("S|"&amp;J143,'判定表'!$A:$A,0)),"判定表にない回答")))</f>
        <v/>
      </c>
      <c r="O143" s="22">
        <f>IF(A143="","",IF(N143="留保","—",IF(OR(N143="判定保留",M143="判定保留"),"判定保留",IFERROR(INDEX('判定表'!$D:$D,MATCH("T|"&amp;J143&amp;"|"&amp;M143,'判定表'!$A:$A,0)),"判定表にない組み合わせ"))))</f>
        <v/>
      </c>
    </row>
    <row r="144">
      <c r="A144" s="17" t="n"/>
      <c r="B144" s="17" t="n"/>
      <c r="C144" s="17" t="n"/>
      <c r="D144" s="17" t="n"/>
      <c r="E144" s="17" t="n"/>
      <c r="F144" s="29" t="n"/>
      <c r="G144" s="17" t="n"/>
      <c r="H144" s="17" t="n"/>
      <c r="I144" s="17" t="n"/>
      <c r="J144" s="22">
        <f>IF(A144="","",IF(COUNTA(G144:I144)&lt;3,"判定保留",IFERROR(CHOOSE(MAX(INDEX('判定表'!$D:$D,MATCH("E|利用範囲|"&amp;G144,'判定表'!$A:$A,0)),INDEX('判定表'!$D:$D,MATCH("E|データの利用範囲|"&amp;H144,'判定表'!$A:$A,0)),INDEX('判定表'!$D:$D,MATCH("E|環境|"&amp;I144,'判定表'!$A:$A,0)))+1,"低","中","高"),"判定表にない回答")))</f>
        <v/>
      </c>
      <c r="K144" s="17" t="n"/>
      <c r="L144" s="17" t="n"/>
      <c r="M144" s="22">
        <f>IF(A144="","",IF(OR(K144="",L144="",D144="",E144="",D144="未確認",E144="未確認"),"判定保留",IFERROR(IF(OR(D144="はい",E144="はい"),INDEX('判定表'!$D:$D,MATCH("L|"&amp;INDEX('判定表'!$D:$D,MATCH("D|"&amp;K144&amp;"|"&amp;L144,'判定表'!$A:$A,0)),'判定表'!$A:$A,0)),INDEX('判定表'!$D:$D,MATCH("D|"&amp;K144&amp;"|"&amp;L144,'判定表'!$A:$A,0))),"判定表にない組み合わせ")))</f>
        <v/>
      </c>
      <c r="N144" s="22">
        <f>IF(A144="","",IF(J144="判定保留","判定保留",IFERROR(INDEX('判定表'!$D:$D,MATCH("S|"&amp;J144,'判定表'!$A:$A,0)),"判定表にない回答")))</f>
        <v/>
      </c>
      <c r="O144" s="22">
        <f>IF(A144="","",IF(N144="留保","—",IF(OR(N144="判定保留",M144="判定保留"),"判定保留",IFERROR(INDEX('判定表'!$D:$D,MATCH("T|"&amp;J144&amp;"|"&amp;M144,'判定表'!$A:$A,0)),"判定表にない組み合わせ"))))</f>
        <v/>
      </c>
    </row>
    <row r="145">
      <c r="A145" s="17" t="n"/>
      <c r="B145" s="17" t="n"/>
      <c r="C145" s="17" t="n"/>
      <c r="D145" s="17" t="n"/>
      <c r="E145" s="17" t="n"/>
      <c r="F145" s="29" t="n"/>
      <c r="G145" s="17" t="n"/>
      <c r="H145" s="17" t="n"/>
      <c r="I145" s="17" t="n"/>
      <c r="J145" s="22">
        <f>IF(A145="","",IF(COUNTA(G145:I145)&lt;3,"判定保留",IFERROR(CHOOSE(MAX(INDEX('判定表'!$D:$D,MATCH("E|利用範囲|"&amp;G145,'判定表'!$A:$A,0)),INDEX('判定表'!$D:$D,MATCH("E|データの利用範囲|"&amp;H145,'判定表'!$A:$A,0)),INDEX('判定表'!$D:$D,MATCH("E|環境|"&amp;I145,'判定表'!$A:$A,0)))+1,"低","中","高"),"判定表にない回答")))</f>
        <v/>
      </c>
      <c r="K145" s="17" t="n"/>
      <c r="L145" s="17" t="n"/>
      <c r="M145" s="22">
        <f>IF(A145="","",IF(OR(K145="",L145="",D145="",E145="",D145="未確認",E145="未確認"),"判定保留",IFERROR(IF(OR(D145="はい",E145="はい"),INDEX('判定表'!$D:$D,MATCH("L|"&amp;INDEX('判定表'!$D:$D,MATCH("D|"&amp;K145&amp;"|"&amp;L145,'判定表'!$A:$A,0)),'判定表'!$A:$A,0)),INDEX('判定表'!$D:$D,MATCH("D|"&amp;K145&amp;"|"&amp;L145,'判定表'!$A:$A,0))),"判定表にない組み合わせ")))</f>
        <v/>
      </c>
      <c r="N145" s="22">
        <f>IF(A145="","",IF(J145="判定保留","判定保留",IFERROR(INDEX('判定表'!$D:$D,MATCH("S|"&amp;J145,'判定表'!$A:$A,0)),"判定表にない回答")))</f>
        <v/>
      </c>
      <c r="O145" s="22">
        <f>IF(A145="","",IF(N145="留保","—",IF(OR(N145="判定保留",M145="判定保留"),"判定保留",IFERROR(INDEX('判定表'!$D:$D,MATCH("T|"&amp;J145&amp;"|"&amp;M145,'判定表'!$A:$A,0)),"判定表にない組み合わせ"))))</f>
        <v/>
      </c>
    </row>
    <row r="146">
      <c r="A146" s="17" t="n"/>
      <c r="B146" s="17" t="n"/>
      <c r="C146" s="17" t="n"/>
      <c r="D146" s="17" t="n"/>
      <c r="E146" s="17" t="n"/>
      <c r="F146" s="29" t="n"/>
      <c r="G146" s="17" t="n"/>
      <c r="H146" s="17" t="n"/>
      <c r="I146" s="17" t="n"/>
      <c r="J146" s="22">
        <f>IF(A146="","",IF(COUNTA(G146:I146)&lt;3,"判定保留",IFERROR(CHOOSE(MAX(INDEX('判定表'!$D:$D,MATCH("E|利用範囲|"&amp;G146,'判定表'!$A:$A,0)),INDEX('判定表'!$D:$D,MATCH("E|データの利用範囲|"&amp;H146,'判定表'!$A:$A,0)),INDEX('判定表'!$D:$D,MATCH("E|環境|"&amp;I146,'判定表'!$A:$A,0)))+1,"低","中","高"),"判定表にない回答")))</f>
        <v/>
      </c>
      <c r="K146" s="17" t="n"/>
      <c r="L146" s="17" t="n"/>
      <c r="M146" s="22">
        <f>IF(A146="","",IF(OR(K146="",L146="",D146="",E146="",D146="未確認",E146="未確認"),"判定保留",IFERROR(IF(OR(D146="はい",E146="はい"),INDEX('判定表'!$D:$D,MATCH("L|"&amp;INDEX('判定表'!$D:$D,MATCH("D|"&amp;K146&amp;"|"&amp;L146,'判定表'!$A:$A,0)),'判定表'!$A:$A,0)),INDEX('判定表'!$D:$D,MATCH("D|"&amp;K146&amp;"|"&amp;L146,'判定表'!$A:$A,0))),"判定表にない組み合わせ")))</f>
        <v/>
      </c>
      <c r="N146" s="22">
        <f>IF(A146="","",IF(J146="判定保留","判定保留",IFERROR(INDEX('判定表'!$D:$D,MATCH("S|"&amp;J146,'判定表'!$A:$A,0)),"判定表にない回答")))</f>
        <v/>
      </c>
      <c r="O146" s="22">
        <f>IF(A146="","",IF(N146="留保","—",IF(OR(N146="判定保留",M146="判定保留"),"判定保留",IFERROR(INDEX('判定表'!$D:$D,MATCH("T|"&amp;J146&amp;"|"&amp;M146,'判定表'!$A:$A,0)),"判定表にない組み合わせ"))))</f>
        <v/>
      </c>
    </row>
    <row r="147">
      <c r="A147" s="17" t="n"/>
      <c r="B147" s="17" t="n"/>
      <c r="C147" s="17" t="n"/>
      <c r="D147" s="17" t="n"/>
      <c r="E147" s="17" t="n"/>
      <c r="F147" s="29" t="n"/>
      <c r="G147" s="17" t="n"/>
      <c r="H147" s="17" t="n"/>
      <c r="I147" s="17" t="n"/>
      <c r="J147" s="22">
        <f>IF(A147="","",IF(COUNTA(G147:I147)&lt;3,"判定保留",IFERROR(CHOOSE(MAX(INDEX('判定表'!$D:$D,MATCH("E|利用範囲|"&amp;G147,'判定表'!$A:$A,0)),INDEX('判定表'!$D:$D,MATCH("E|データの利用範囲|"&amp;H147,'判定表'!$A:$A,0)),INDEX('判定表'!$D:$D,MATCH("E|環境|"&amp;I147,'判定表'!$A:$A,0)))+1,"低","中","高"),"判定表にない回答")))</f>
        <v/>
      </c>
      <c r="K147" s="17" t="n"/>
      <c r="L147" s="17" t="n"/>
      <c r="M147" s="22">
        <f>IF(A147="","",IF(OR(K147="",L147="",D147="",E147="",D147="未確認",E147="未確認"),"判定保留",IFERROR(IF(OR(D147="はい",E147="はい"),INDEX('判定表'!$D:$D,MATCH("L|"&amp;INDEX('判定表'!$D:$D,MATCH("D|"&amp;K147&amp;"|"&amp;L147,'判定表'!$A:$A,0)),'判定表'!$A:$A,0)),INDEX('判定表'!$D:$D,MATCH("D|"&amp;K147&amp;"|"&amp;L147,'判定表'!$A:$A,0))),"判定表にない組み合わせ")))</f>
        <v/>
      </c>
      <c r="N147" s="22">
        <f>IF(A147="","",IF(J147="判定保留","判定保留",IFERROR(INDEX('判定表'!$D:$D,MATCH("S|"&amp;J147,'判定表'!$A:$A,0)),"判定表にない回答")))</f>
        <v/>
      </c>
      <c r="O147" s="22">
        <f>IF(A147="","",IF(N147="留保","—",IF(OR(N147="判定保留",M147="判定保留"),"判定保留",IFERROR(INDEX('判定表'!$D:$D,MATCH("T|"&amp;J147&amp;"|"&amp;M147,'判定表'!$A:$A,0)),"判定表にない組み合わせ"))))</f>
        <v/>
      </c>
    </row>
    <row r="148">
      <c r="A148" s="17" t="n"/>
      <c r="B148" s="17" t="n"/>
      <c r="C148" s="17" t="n"/>
      <c r="D148" s="17" t="n"/>
      <c r="E148" s="17" t="n"/>
      <c r="F148" s="29" t="n"/>
      <c r="G148" s="17" t="n"/>
      <c r="H148" s="17" t="n"/>
      <c r="I148" s="17" t="n"/>
      <c r="J148" s="22">
        <f>IF(A148="","",IF(COUNTA(G148:I148)&lt;3,"判定保留",IFERROR(CHOOSE(MAX(INDEX('判定表'!$D:$D,MATCH("E|利用範囲|"&amp;G148,'判定表'!$A:$A,0)),INDEX('判定表'!$D:$D,MATCH("E|データの利用範囲|"&amp;H148,'判定表'!$A:$A,0)),INDEX('判定表'!$D:$D,MATCH("E|環境|"&amp;I148,'判定表'!$A:$A,0)))+1,"低","中","高"),"判定表にない回答")))</f>
        <v/>
      </c>
      <c r="K148" s="17" t="n"/>
      <c r="L148" s="17" t="n"/>
      <c r="M148" s="22">
        <f>IF(A148="","",IF(OR(K148="",L148="",D148="",E148="",D148="未確認",E148="未確認"),"判定保留",IFERROR(IF(OR(D148="はい",E148="はい"),INDEX('判定表'!$D:$D,MATCH("L|"&amp;INDEX('判定表'!$D:$D,MATCH("D|"&amp;K148&amp;"|"&amp;L148,'判定表'!$A:$A,0)),'判定表'!$A:$A,0)),INDEX('判定表'!$D:$D,MATCH("D|"&amp;K148&amp;"|"&amp;L148,'判定表'!$A:$A,0))),"判定表にない組み合わせ")))</f>
        <v/>
      </c>
      <c r="N148" s="22">
        <f>IF(A148="","",IF(J148="判定保留","判定保留",IFERROR(INDEX('判定表'!$D:$D,MATCH("S|"&amp;J148,'判定表'!$A:$A,0)),"判定表にない回答")))</f>
        <v/>
      </c>
      <c r="O148" s="22">
        <f>IF(A148="","",IF(N148="留保","—",IF(OR(N148="判定保留",M148="判定保留"),"判定保留",IFERROR(INDEX('判定表'!$D:$D,MATCH("T|"&amp;J148&amp;"|"&amp;M148,'判定表'!$A:$A,0)),"判定表にない組み合わせ"))))</f>
        <v/>
      </c>
    </row>
    <row r="149">
      <c r="A149" s="17" t="n"/>
      <c r="B149" s="17" t="n"/>
      <c r="C149" s="17" t="n"/>
      <c r="D149" s="17" t="n"/>
      <c r="E149" s="17" t="n"/>
      <c r="F149" s="29" t="n"/>
      <c r="G149" s="17" t="n"/>
      <c r="H149" s="17" t="n"/>
      <c r="I149" s="17" t="n"/>
      <c r="J149" s="22">
        <f>IF(A149="","",IF(COUNTA(G149:I149)&lt;3,"判定保留",IFERROR(CHOOSE(MAX(INDEX('判定表'!$D:$D,MATCH("E|利用範囲|"&amp;G149,'判定表'!$A:$A,0)),INDEX('判定表'!$D:$D,MATCH("E|データの利用範囲|"&amp;H149,'判定表'!$A:$A,0)),INDEX('判定表'!$D:$D,MATCH("E|環境|"&amp;I149,'判定表'!$A:$A,0)))+1,"低","中","高"),"判定表にない回答")))</f>
        <v/>
      </c>
      <c r="K149" s="17" t="n"/>
      <c r="L149" s="17" t="n"/>
      <c r="M149" s="22">
        <f>IF(A149="","",IF(OR(K149="",L149="",D149="",E149="",D149="未確認",E149="未確認"),"判定保留",IFERROR(IF(OR(D149="はい",E149="はい"),INDEX('判定表'!$D:$D,MATCH("L|"&amp;INDEX('判定表'!$D:$D,MATCH("D|"&amp;K149&amp;"|"&amp;L149,'判定表'!$A:$A,0)),'判定表'!$A:$A,0)),INDEX('判定表'!$D:$D,MATCH("D|"&amp;K149&amp;"|"&amp;L149,'判定表'!$A:$A,0))),"判定表にない組み合わせ")))</f>
        <v/>
      </c>
      <c r="N149" s="22">
        <f>IF(A149="","",IF(J149="判定保留","判定保留",IFERROR(INDEX('判定表'!$D:$D,MATCH("S|"&amp;J149,'判定表'!$A:$A,0)),"判定表にない回答")))</f>
        <v/>
      </c>
      <c r="O149" s="22">
        <f>IF(A149="","",IF(N149="留保","—",IF(OR(N149="判定保留",M149="判定保留"),"判定保留",IFERROR(INDEX('判定表'!$D:$D,MATCH("T|"&amp;J149&amp;"|"&amp;M149,'判定表'!$A:$A,0)),"判定表にない組み合わせ"))))</f>
        <v/>
      </c>
    </row>
    <row r="150">
      <c r="A150" s="17" t="n"/>
      <c r="B150" s="17" t="n"/>
      <c r="C150" s="17" t="n"/>
      <c r="D150" s="17" t="n"/>
      <c r="E150" s="17" t="n"/>
      <c r="F150" s="29" t="n"/>
      <c r="G150" s="17" t="n"/>
      <c r="H150" s="17" t="n"/>
      <c r="I150" s="17" t="n"/>
      <c r="J150" s="22">
        <f>IF(A150="","",IF(COUNTA(G150:I150)&lt;3,"判定保留",IFERROR(CHOOSE(MAX(INDEX('判定表'!$D:$D,MATCH("E|利用範囲|"&amp;G150,'判定表'!$A:$A,0)),INDEX('判定表'!$D:$D,MATCH("E|データの利用範囲|"&amp;H150,'判定表'!$A:$A,0)),INDEX('判定表'!$D:$D,MATCH("E|環境|"&amp;I150,'判定表'!$A:$A,0)))+1,"低","中","高"),"判定表にない回答")))</f>
        <v/>
      </c>
      <c r="K150" s="17" t="n"/>
      <c r="L150" s="17" t="n"/>
      <c r="M150" s="22">
        <f>IF(A150="","",IF(OR(K150="",L150="",D150="",E150="",D150="未確認",E150="未確認"),"判定保留",IFERROR(IF(OR(D150="はい",E150="はい"),INDEX('判定表'!$D:$D,MATCH("L|"&amp;INDEX('判定表'!$D:$D,MATCH("D|"&amp;K150&amp;"|"&amp;L150,'判定表'!$A:$A,0)),'判定表'!$A:$A,0)),INDEX('判定表'!$D:$D,MATCH("D|"&amp;K150&amp;"|"&amp;L150,'判定表'!$A:$A,0))),"判定表にない組み合わせ")))</f>
        <v/>
      </c>
      <c r="N150" s="22">
        <f>IF(A150="","",IF(J150="判定保留","判定保留",IFERROR(INDEX('判定表'!$D:$D,MATCH("S|"&amp;J150,'判定表'!$A:$A,0)),"判定表にない回答")))</f>
        <v/>
      </c>
      <c r="O150" s="22">
        <f>IF(A150="","",IF(N150="留保","—",IF(OR(N150="判定保留",M150="判定保留"),"判定保留",IFERROR(INDEX('判定表'!$D:$D,MATCH("T|"&amp;J150&amp;"|"&amp;M150,'判定表'!$A:$A,0)),"判定表にない組み合わせ"))))</f>
        <v/>
      </c>
    </row>
    <row r="151">
      <c r="A151" s="17" t="n"/>
      <c r="B151" s="17" t="n"/>
      <c r="C151" s="17" t="n"/>
      <c r="D151" s="17" t="n"/>
      <c r="E151" s="17" t="n"/>
      <c r="F151" s="29" t="n"/>
      <c r="G151" s="17" t="n"/>
      <c r="H151" s="17" t="n"/>
      <c r="I151" s="17" t="n"/>
      <c r="J151" s="22">
        <f>IF(A151="","",IF(COUNTA(G151:I151)&lt;3,"判定保留",IFERROR(CHOOSE(MAX(INDEX('判定表'!$D:$D,MATCH("E|利用範囲|"&amp;G151,'判定表'!$A:$A,0)),INDEX('判定表'!$D:$D,MATCH("E|データの利用範囲|"&amp;H151,'判定表'!$A:$A,0)),INDEX('判定表'!$D:$D,MATCH("E|環境|"&amp;I151,'判定表'!$A:$A,0)))+1,"低","中","高"),"判定表にない回答")))</f>
        <v/>
      </c>
      <c r="K151" s="17" t="n"/>
      <c r="L151" s="17" t="n"/>
      <c r="M151" s="22">
        <f>IF(A151="","",IF(OR(K151="",L151="",D151="",E151="",D151="未確認",E151="未確認"),"判定保留",IFERROR(IF(OR(D151="はい",E151="はい"),INDEX('判定表'!$D:$D,MATCH("L|"&amp;INDEX('判定表'!$D:$D,MATCH("D|"&amp;K151&amp;"|"&amp;L151,'判定表'!$A:$A,0)),'判定表'!$A:$A,0)),INDEX('判定表'!$D:$D,MATCH("D|"&amp;K151&amp;"|"&amp;L151,'判定表'!$A:$A,0))),"判定表にない組み合わせ")))</f>
        <v/>
      </c>
      <c r="N151" s="22">
        <f>IF(A151="","",IF(J151="判定保留","判定保留",IFERROR(INDEX('判定表'!$D:$D,MATCH("S|"&amp;J151,'判定表'!$A:$A,0)),"判定表にない回答")))</f>
        <v/>
      </c>
      <c r="O151" s="22">
        <f>IF(A151="","",IF(N151="留保","—",IF(OR(N151="判定保留",M151="判定保留"),"判定保留",IFERROR(INDEX('判定表'!$D:$D,MATCH("T|"&amp;J151&amp;"|"&amp;M151,'判定表'!$A:$A,0)),"判定表にない組み合わせ"))))</f>
        <v/>
      </c>
    </row>
    <row r="152">
      <c r="A152" s="17" t="n"/>
      <c r="B152" s="17" t="n"/>
      <c r="C152" s="17" t="n"/>
      <c r="D152" s="17" t="n"/>
      <c r="E152" s="17" t="n"/>
      <c r="F152" s="29" t="n"/>
      <c r="G152" s="17" t="n"/>
      <c r="H152" s="17" t="n"/>
      <c r="I152" s="17" t="n"/>
      <c r="J152" s="22">
        <f>IF(A152="","",IF(COUNTA(G152:I152)&lt;3,"判定保留",IFERROR(CHOOSE(MAX(INDEX('判定表'!$D:$D,MATCH("E|利用範囲|"&amp;G152,'判定表'!$A:$A,0)),INDEX('判定表'!$D:$D,MATCH("E|データの利用範囲|"&amp;H152,'判定表'!$A:$A,0)),INDEX('判定表'!$D:$D,MATCH("E|環境|"&amp;I152,'判定表'!$A:$A,0)))+1,"低","中","高"),"判定表にない回答")))</f>
        <v/>
      </c>
      <c r="K152" s="17" t="n"/>
      <c r="L152" s="17" t="n"/>
      <c r="M152" s="22">
        <f>IF(A152="","",IF(OR(K152="",L152="",D152="",E152="",D152="未確認",E152="未確認"),"判定保留",IFERROR(IF(OR(D152="はい",E152="はい"),INDEX('判定表'!$D:$D,MATCH("L|"&amp;INDEX('判定表'!$D:$D,MATCH("D|"&amp;K152&amp;"|"&amp;L152,'判定表'!$A:$A,0)),'判定表'!$A:$A,0)),INDEX('判定表'!$D:$D,MATCH("D|"&amp;K152&amp;"|"&amp;L152,'判定表'!$A:$A,0))),"判定表にない組み合わせ")))</f>
        <v/>
      </c>
      <c r="N152" s="22">
        <f>IF(A152="","",IF(J152="判定保留","判定保留",IFERROR(INDEX('判定表'!$D:$D,MATCH("S|"&amp;J152,'判定表'!$A:$A,0)),"判定表にない回答")))</f>
        <v/>
      </c>
      <c r="O152" s="22">
        <f>IF(A152="","",IF(N152="留保","—",IF(OR(N152="判定保留",M152="判定保留"),"判定保留",IFERROR(INDEX('判定表'!$D:$D,MATCH("T|"&amp;J152&amp;"|"&amp;M152,'判定表'!$A:$A,0)),"判定表にない組み合わせ"))))</f>
        <v/>
      </c>
    </row>
    <row r="153">
      <c r="A153" s="17" t="n"/>
      <c r="B153" s="17" t="n"/>
      <c r="C153" s="17" t="n"/>
      <c r="D153" s="17" t="n"/>
      <c r="E153" s="17" t="n"/>
      <c r="F153" s="29" t="n"/>
      <c r="G153" s="17" t="n"/>
      <c r="H153" s="17" t="n"/>
      <c r="I153" s="17" t="n"/>
      <c r="J153" s="22">
        <f>IF(A153="","",IF(COUNTA(G153:I153)&lt;3,"判定保留",IFERROR(CHOOSE(MAX(INDEX('判定表'!$D:$D,MATCH("E|利用範囲|"&amp;G153,'判定表'!$A:$A,0)),INDEX('判定表'!$D:$D,MATCH("E|データの利用範囲|"&amp;H153,'判定表'!$A:$A,0)),INDEX('判定表'!$D:$D,MATCH("E|環境|"&amp;I153,'判定表'!$A:$A,0)))+1,"低","中","高"),"判定表にない回答")))</f>
        <v/>
      </c>
      <c r="K153" s="17" t="n"/>
      <c r="L153" s="17" t="n"/>
      <c r="M153" s="22">
        <f>IF(A153="","",IF(OR(K153="",L153="",D153="",E153="",D153="未確認",E153="未確認"),"判定保留",IFERROR(IF(OR(D153="はい",E153="はい"),INDEX('判定表'!$D:$D,MATCH("L|"&amp;INDEX('判定表'!$D:$D,MATCH("D|"&amp;K153&amp;"|"&amp;L153,'判定表'!$A:$A,0)),'判定表'!$A:$A,0)),INDEX('判定表'!$D:$D,MATCH("D|"&amp;K153&amp;"|"&amp;L153,'判定表'!$A:$A,0))),"判定表にない組み合わせ")))</f>
        <v/>
      </c>
      <c r="N153" s="22">
        <f>IF(A153="","",IF(J153="判定保留","判定保留",IFERROR(INDEX('判定表'!$D:$D,MATCH("S|"&amp;J153,'判定表'!$A:$A,0)),"判定表にない回答")))</f>
        <v/>
      </c>
      <c r="O153" s="22">
        <f>IF(A153="","",IF(N153="留保","—",IF(OR(N153="判定保留",M153="判定保留"),"判定保留",IFERROR(INDEX('判定表'!$D:$D,MATCH("T|"&amp;J153&amp;"|"&amp;M153,'判定表'!$A:$A,0)),"判定表にない組み合わせ"))))</f>
        <v/>
      </c>
    </row>
    <row r="154">
      <c r="A154" s="17" t="n"/>
      <c r="B154" s="17" t="n"/>
      <c r="C154" s="17" t="n"/>
      <c r="D154" s="17" t="n"/>
      <c r="E154" s="17" t="n"/>
      <c r="F154" s="29" t="n"/>
      <c r="G154" s="17" t="n"/>
      <c r="H154" s="17" t="n"/>
      <c r="I154" s="17" t="n"/>
      <c r="J154" s="22">
        <f>IF(A154="","",IF(COUNTA(G154:I154)&lt;3,"判定保留",IFERROR(CHOOSE(MAX(INDEX('判定表'!$D:$D,MATCH("E|利用範囲|"&amp;G154,'判定表'!$A:$A,0)),INDEX('判定表'!$D:$D,MATCH("E|データの利用範囲|"&amp;H154,'判定表'!$A:$A,0)),INDEX('判定表'!$D:$D,MATCH("E|環境|"&amp;I154,'判定表'!$A:$A,0)))+1,"低","中","高"),"判定表にない回答")))</f>
        <v/>
      </c>
      <c r="K154" s="17" t="n"/>
      <c r="L154" s="17" t="n"/>
      <c r="M154" s="22">
        <f>IF(A154="","",IF(OR(K154="",L154="",D154="",E154="",D154="未確認",E154="未確認"),"判定保留",IFERROR(IF(OR(D154="はい",E154="はい"),INDEX('判定表'!$D:$D,MATCH("L|"&amp;INDEX('判定表'!$D:$D,MATCH("D|"&amp;K154&amp;"|"&amp;L154,'判定表'!$A:$A,0)),'判定表'!$A:$A,0)),INDEX('判定表'!$D:$D,MATCH("D|"&amp;K154&amp;"|"&amp;L154,'判定表'!$A:$A,0))),"判定表にない組み合わせ")))</f>
        <v/>
      </c>
      <c r="N154" s="22">
        <f>IF(A154="","",IF(J154="判定保留","判定保留",IFERROR(INDEX('判定表'!$D:$D,MATCH("S|"&amp;J154,'判定表'!$A:$A,0)),"判定表にない回答")))</f>
        <v/>
      </c>
      <c r="O154" s="22">
        <f>IF(A154="","",IF(N154="留保","—",IF(OR(N154="判定保留",M154="判定保留"),"判定保留",IFERROR(INDEX('判定表'!$D:$D,MATCH("T|"&amp;J154&amp;"|"&amp;M154,'判定表'!$A:$A,0)),"判定表にない組み合わせ"))))</f>
        <v/>
      </c>
    </row>
    <row r="155">
      <c r="A155" s="17" t="n"/>
      <c r="B155" s="17" t="n"/>
      <c r="C155" s="17" t="n"/>
      <c r="D155" s="17" t="n"/>
      <c r="E155" s="17" t="n"/>
      <c r="F155" s="29" t="n"/>
      <c r="G155" s="17" t="n"/>
      <c r="H155" s="17" t="n"/>
      <c r="I155" s="17" t="n"/>
      <c r="J155" s="22">
        <f>IF(A155="","",IF(COUNTA(G155:I155)&lt;3,"判定保留",IFERROR(CHOOSE(MAX(INDEX('判定表'!$D:$D,MATCH("E|利用範囲|"&amp;G155,'判定表'!$A:$A,0)),INDEX('判定表'!$D:$D,MATCH("E|データの利用範囲|"&amp;H155,'判定表'!$A:$A,0)),INDEX('判定表'!$D:$D,MATCH("E|環境|"&amp;I155,'判定表'!$A:$A,0)))+1,"低","中","高"),"判定表にない回答")))</f>
        <v/>
      </c>
      <c r="K155" s="17" t="n"/>
      <c r="L155" s="17" t="n"/>
      <c r="M155" s="22">
        <f>IF(A155="","",IF(OR(K155="",L155="",D155="",E155="",D155="未確認",E155="未確認"),"判定保留",IFERROR(IF(OR(D155="はい",E155="はい"),INDEX('判定表'!$D:$D,MATCH("L|"&amp;INDEX('判定表'!$D:$D,MATCH("D|"&amp;K155&amp;"|"&amp;L155,'判定表'!$A:$A,0)),'判定表'!$A:$A,0)),INDEX('判定表'!$D:$D,MATCH("D|"&amp;K155&amp;"|"&amp;L155,'判定表'!$A:$A,0))),"判定表にない組み合わせ")))</f>
        <v/>
      </c>
      <c r="N155" s="22">
        <f>IF(A155="","",IF(J155="判定保留","判定保留",IFERROR(INDEX('判定表'!$D:$D,MATCH("S|"&amp;J155,'判定表'!$A:$A,0)),"判定表にない回答")))</f>
        <v/>
      </c>
      <c r="O155" s="22">
        <f>IF(A155="","",IF(N155="留保","—",IF(OR(N155="判定保留",M155="判定保留"),"判定保留",IFERROR(INDEX('判定表'!$D:$D,MATCH("T|"&amp;J155&amp;"|"&amp;M155,'判定表'!$A:$A,0)),"判定表にない組み合わせ"))))</f>
        <v/>
      </c>
    </row>
    <row r="156">
      <c r="A156" s="17" t="n"/>
      <c r="B156" s="17" t="n"/>
      <c r="C156" s="17" t="n"/>
      <c r="D156" s="17" t="n"/>
      <c r="E156" s="17" t="n"/>
      <c r="F156" s="29" t="n"/>
      <c r="G156" s="17" t="n"/>
      <c r="H156" s="17" t="n"/>
      <c r="I156" s="17" t="n"/>
      <c r="J156" s="22">
        <f>IF(A156="","",IF(COUNTA(G156:I156)&lt;3,"判定保留",IFERROR(CHOOSE(MAX(INDEX('判定表'!$D:$D,MATCH("E|利用範囲|"&amp;G156,'判定表'!$A:$A,0)),INDEX('判定表'!$D:$D,MATCH("E|データの利用範囲|"&amp;H156,'判定表'!$A:$A,0)),INDEX('判定表'!$D:$D,MATCH("E|環境|"&amp;I156,'判定表'!$A:$A,0)))+1,"低","中","高"),"判定表にない回答")))</f>
        <v/>
      </c>
      <c r="K156" s="17" t="n"/>
      <c r="L156" s="17" t="n"/>
      <c r="M156" s="22">
        <f>IF(A156="","",IF(OR(K156="",L156="",D156="",E156="",D156="未確認",E156="未確認"),"判定保留",IFERROR(IF(OR(D156="はい",E156="はい"),INDEX('判定表'!$D:$D,MATCH("L|"&amp;INDEX('判定表'!$D:$D,MATCH("D|"&amp;K156&amp;"|"&amp;L156,'判定表'!$A:$A,0)),'判定表'!$A:$A,0)),INDEX('判定表'!$D:$D,MATCH("D|"&amp;K156&amp;"|"&amp;L156,'判定表'!$A:$A,0))),"判定表にない組み合わせ")))</f>
        <v/>
      </c>
      <c r="N156" s="22">
        <f>IF(A156="","",IF(J156="判定保留","判定保留",IFERROR(INDEX('判定表'!$D:$D,MATCH("S|"&amp;J156,'判定表'!$A:$A,0)),"判定表にない回答")))</f>
        <v/>
      </c>
      <c r="O156" s="22">
        <f>IF(A156="","",IF(N156="留保","—",IF(OR(N156="判定保留",M156="判定保留"),"判定保留",IFERROR(INDEX('判定表'!$D:$D,MATCH("T|"&amp;J156&amp;"|"&amp;M156,'判定表'!$A:$A,0)),"判定表にない組み合わせ"))))</f>
        <v/>
      </c>
    </row>
    <row r="157">
      <c r="A157" s="17" t="n"/>
      <c r="B157" s="17" t="n"/>
      <c r="C157" s="17" t="n"/>
      <c r="D157" s="17" t="n"/>
      <c r="E157" s="17" t="n"/>
      <c r="F157" s="29" t="n"/>
      <c r="G157" s="17" t="n"/>
      <c r="H157" s="17" t="n"/>
      <c r="I157" s="17" t="n"/>
      <c r="J157" s="22">
        <f>IF(A157="","",IF(COUNTA(G157:I157)&lt;3,"判定保留",IFERROR(CHOOSE(MAX(INDEX('判定表'!$D:$D,MATCH("E|利用範囲|"&amp;G157,'判定表'!$A:$A,0)),INDEX('判定表'!$D:$D,MATCH("E|データの利用範囲|"&amp;H157,'判定表'!$A:$A,0)),INDEX('判定表'!$D:$D,MATCH("E|環境|"&amp;I157,'判定表'!$A:$A,0)))+1,"低","中","高"),"判定表にない回答")))</f>
        <v/>
      </c>
      <c r="K157" s="17" t="n"/>
      <c r="L157" s="17" t="n"/>
      <c r="M157" s="22">
        <f>IF(A157="","",IF(OR(K157="",L157="",D157="",E157="",D157="未確認",E157="未確認"),"判定保留",IFERROR(IF(OR(D157="はい",E157="はい"),INDEX('判定表'!$D:$D,MATCH("L|"&amp;INDEX('判定表'!$D:$D,MATCH("D|"&amp;K157&amp;"|"&amp;L157,'判定表'!$A:$A,0)),'判定表'!$A:$A,0)),INDEX('判定表'!$D:$D,MATCH("D|"&amp;K157&amp;"|"&amp;L157,'判定表'!$A:$A,0))),"判定表にない組み合わせ")))</f>
        <v/>
      </c>
      <c r="N157" s="22">
        <f>IF(A157="","",IF(J157="判定保留","判定保留",IFERROR(INDEX('判定表'!$D:$D,MATCH("S|"&amp;J157,'判定表'!$A:$A,0)),"判定表にない回答")))</f>
        <v/>
      </c>
      <c r="O157" s="22">
        <f>IF(A157="","",IF(N157="留保","—",IF(OR(N157="判定保留",M157="判定保留"),"判定保留",IFERROR(INDEX('判定表'!$D:$D,MATCH("T|"&amp;J157&amp;"|"&amp;M157,'判定表'!$A:$A,0)),"判定表にない組み合わせ"))))</f>
        <v/>
      </c>
    </row>
    <row r="158">
      <c r="A158" s="17" t="n"/>
      <c r="B158" s="17" t="n"/>
      <c r="C158" s="17" t="n"/>
      <c r="D158" s="17" t="n"/>
      <c r="E158" s="17" t="n"/>
      <c r="F158" s="29" t="n"/>
      <c r="G158" s="17" t="n"/>
      <c r="H158" s="17" t="n"/>
      <c r="I158" s="17" t="n"/>
      <c r="J158" s="22">
        <f>IF(A158="","",IF(COUNTA(G158:I158)&lt;3,"判定保留",IFERROR(CHOOSE(MAX(INDEX('判定表'!$D:$D,MATCH("E|利用範囲|"&amp;G158,'判定表'!$A:$A,0)),INDEX('判定表'!$D:$D,MATCH("E|データの利用範囲|"&amp;H158,'判定表'!$A:$A,0)),INDEX('判定表'!$D:$D,MATCH("E|環境|"&amp;I158,'判定表'!$A:$A,0)))+1,"低","中","高"),"判定表にない回答")))</f>
        <v/>
      </c>
      <c r="K158" s="17" t="n"/>
      <c r="L158" s="17" t="n"/>
      <c r="M158" s="22">
        <f>IF(A158="","",IF(OR(K158="",L158="",D158="",E158="",D158="未確認",E158="未確認"),"判定保留",IFERROR(IF(OR(D158="はい",E158="はい"),INDEX('判定表'!$D:$D,MATCH("L|"&amp;INDEX('判定表'!$D:$D,MATCH("D|"&amp;K158&amp;"|"&amp;L158,'判定表'!$A:$A,0)),'判定表'!$A:$A,0)),INDEX('判定表'!$D:$D,MATCH("D|"&amp;K158&amp;"|"&amp;L158,'判定表'!$A:$A,0))),"判定表にない組み合わせ")))</f>
        <v/>
      </c>
      <c r="N158" s="22">
        <f>IF(A158="","",IF(J158="判定保留","判定保留",IFERROR(INDEX('判定表'!$D:$D,MATCH("S|"&amp;J158,'判定表'!$A:$A,0)),"判定表にない回答")))</f>
        <v/>
      </c>
      <c r="O158" s="22">
        <f>IF(A158="","",IF(N158="留保","—",IF(OR(N158="判定保留",M158="判定保留"),"判定保留",IFERROR(INDEX('判定表'!$D:$D,MATCH("T|"&amp;J158&amp;"|"&amp;M158,'判定表'!$A:$A,0)),"判定表にない組み合わせ"))))</f>
        <v/>
      </c>
    </row>
    <row r="159">
      <c r="A159" s="17" t="n"/>
      <c r="B159" s="17" t="n"/>
      <c r="C159" s="17" t="n"/>
      <c r="D159" s="17" t="n"/>
      <c r="E159" s="17" t="n"/>
      <c r="F159" s="29" t="n"/>
      <c r="G159" s="17" t="n"/>
      <c r="H159" s="17" t="n"/>
      <c r="I159" s="17" t="n"/>
      <c r="J159" s="22">
        <f>IF(A159="","",IF(COUNTA(G159:I159)&lt;3,"判定保留",IFERROR(CHOOSE(MAX(INDEX('判定表'!$D:$D,MATCH("E|利用範囲|"&amp;G159,'判定表'!$A:$A,0)),INDEX('判定表'!$D:$D,MATCH("E|データの利用範囲|"&amp;H159,'判定表'!$A:$A,0)),INDEX('判定表'!$D:$D,MATCH("E|環境|"&amp;I159,'判定表'!$A:$A,0)))+1,"低","中","高"),"判定表にない回答")))</f>
        <v/>
      </c>
      <c r="K159" s="17" t="n"/>
      <c r="L159" s="17" t="n"/>
      <c r="M159" s="22">
        <f>IF(A159="","",IF(OR(K159="",L159="",D159="",E159="",D159="未確認",E159="未確認"),"判定保留",IFERROR(IF(OR(D159="はい",E159="はい"),INDEX('判定表'!$D:$D,MATCH("L|"&amp;INDEX('判定表'!$D:$D,MATCH("D|"&amp;K159&amp;"|"&amp;L159,'判定表'!$A:$A,0)),'判定表'!$A:$A,0)),INDEX('判定表'!$D:$D,MATCH("D|"&amp;K159&amp;"|"&amp;L159,'判定表'!$A:$A,0))),"判定表にない組み合わせ")))</f>
        <v/>
      </c>
      <c r="N159" s="22">
        <f>IF(A159="","",IF(J159="判定保留","判定保留",IFERROR(INDEX('判定表'!$D:$D,MATCH("S|"&amp;J159,'判定表'!$A:$A,0)),"判定表にない回答")))</f>
        <v/>
      </c>
      <c r="O159" s="22">
        <f>IF(A159="","",IF(N159="留保","—",IF(OR(N159="判定保留",M159="判定保留"),"判定保留",IFERROR(INDEX('判定表'!$D:$D,MATCH("T|"&amp;J159&amp;"|"&amp;M159,'判定表'!$A:$A,0)),"判定表にない組み合わせ"))))</f>
        <v/>
      </c>
    </row>
    <row r="160">
      <c r="A160" s="17" t="n"/>
      <c r="B160" s="17" t="n"/>
      <c r="C160" s="17" t="n"/>
      <c r="D160" s="17" t="n"/>
      <c r="E160" s="17" t="n"/>
      <c r="F160" s="29" t="n"/>
      <c r="G160" s="17" t="n"/>
      <c r="H160" s="17" t="n"/>
      <c r="I160" s="17" t="n"/>
      <c r="J160" s="22">
        <f>IF(A160="","",IF(COUNTA(G160:I160)&lt;3,"判定保留",IFERROR(CHOOSE(MAX(INDEX('判定表'!$D:$D,MATCH("E|利用範囲|"&amp;G160,'判定表'!$A:$A,0)),INDEX('判定表'!$D:$D,MATCH("E|データの利用範囲|"&amp;H160,'判定表'!$A:$A,0)),INDEX('判定表'!$D:$D,MATCH("E|環境|"&amp;I160,'判定表'!$A:$A,0)))+1,"低","中","高"),"判定表にない回答")))</f>
        <v/>
      </c>
      <c r="K160" s="17" t="n"/>
      <c r="L160" s="17" t="n"/>
      <c r="M160" s="22">
        <f>IF(A160="","",IF(OR(K160="",L160="",D160="",E160="",D160="未確認",E160="未確認"),"判定保留",IFERROR(IF(OR(D160="はい",E160="はい"),INDEX('判定表'!$D:$D,MATCH("L|"&amp;INDEX('判定表'!$D:$D,MATCH("D|"&amp;K160&amp;"|"&amp;L160,'判定表'!$A:$A,0)),'判定表'!$A:$A,0)),INDEX('判定表'!$D:$D,MATCH("D|"&amp;K160&amp;"|"&amp;L160,'判定表'!$A:$A,0))),"判定表にない組み合わせ")))</f>
        <v/>
      </c>
      <c r="N160" s="22">
        <f>IF(A160="","",IF(J160="判定保留","判定保留",IFERROR(INDEX('判定表'!$D:$D,MATCH("S|"&amp;J160,'判定表'!$A:$A,0)),"判定表にない回答")))</f>
        <v/>
      </c>
      <c r="O160" s="22">
        <f>IF(A160="","",IF(N160="留保","—",IF(OR(N160="判定保留",M160="判定保留"),"判定保留",IFERROR(INDEX('判定表'!$D:$D,MATCH("T|"&amp;J160&amp;"|"&amp;M160,'判定表'!$A:$A,0)),"判定表にない組み合わせ"))))</f>
        <v/>
      </c>
    </row>
    <row r="161">
      <c r="A161" s="17" t="n"/>
      <c r="B161" s="17" t="n"/>
      <c r="C161" s="17" t="n"/>
      <c r="D161" s="17" t="n"/>
      <c r="E161" s="17" t="n"/>
      <c r="F161" s="29" t="n"/>
      <c r="G161" s="17" t="n"/>
      <c r="H161" s="17" t="n"/>
      <c r="I161" s="17" t="n"/>
      <c r="J161" s="22">
        <f>IF(A161="","",IF(COUNTA(G161:I161)&lt;3,"判定保留",IFERROR(CHOOSE(MAX(INDEX('判定表'!$D:$D,MATCH("E|利用範囲|"&amp;G161,'判定表'!$A:$A,0)),INDEX('判定表'!$D:$D,MATCH("E|データの利用範囲|"&amp;H161,'判定表'!$A:$A,0)),INDEX('判定表'!$D:$D,MATCH("E|環境|"&amp;I161,'判定表'!$A:$A,0)))+1,"低","中","高"),"判定表にない回答")))</f>
        <v/>
      </c>
      <c r="K161" s="17" t="n"/>
      <c r="L161" s="17" t="n"/>
      <c r="M161" s="22">
        <f>IF(A161="","",IF(OR(K161="",L161="",D161="",E161="",D161="未確認",E161="未確認"),"判定保留",IFERROR(IF(OR(D161="はい",E161="はい"),INDEX('判定表'!$D:$D,MATCH("L|"&amp;INDEX('判定表'!$D:$D,MATCH("D|"&amp;K161&amp;"|"&amp;L161,'判定表'!$A:$A,0)),'判定表'!$A:$A,0)),INDEX('判定表'!$D:$D,MATCH("D|"&amp;K161&amp;"|"&amp;L161,'判定表'!$A:$A,0))),"判定表にない組み合わせ")))</f>
        <v/>
      </c>
      <c r="N161" s="22">
        <f>IF(A161="","",IF(J161="判定保留","判定保留",IFERROR(INDEX('判定表'!$D:$D,MATCH("S|"&amp;J161,'判定表'!$A:$A,0)),"判定表にない回答")))</f>
        <v/>
      </c>
      <c r="O161" s="22">
        <f>IF(A161="","",IF(N161="留保","—",IF(OR(N161="判定保留",M161="判定保留"),"判定保留",IFERROR(INDEX('判定表'!$D:$D,MATCH("T|"&amp;J161&amp;"|"&amp;M161,'判定表'!$A:$A,0)),"判定表にない組み合わせ"))))</f>
        <v/>
      </c>
    </row>
    <row r="162">
      <c r="A162" s="17" t="n"/>
      <c r="B162" s="17" t="n"/>
      <c r="C162" s="17" t="n"/>
      <c r="D162" s="17" t="n"/>
      <c r="E162" s="17" t="n"/>
      <c r="F162" s="29" t="n"/>
      <c r="G162" s="17" t="n"/>
      <c r="H162" s="17" t="n"/>
      <c r="I162" s="17" t="n"/>
      <c r="J162" s="22">
        <f>IF(A162="","",IF(COUNTA(G162:I162)&lt;3,"判定保留",IFERROR(CHOOSE(MAX(INDEX('判定表'!$D:$D,MATCH("E|利用範囲|"&amp;G162,'判定表'!$A:$A,0)),INDEX('判定表'!$D:$D,MATCH("E|データの利用範囲|"&amp;H162,'判定表'!$A:$A,0)),INDEX('判定表'!$D:$D,MATCH("E|環境|"&amp;I162,'判定表'!$A:$A,0)))+1,"低","中","高"),"判定表にない回答")))</f>
        <v/>
      </c>
      <c r="K162" s="17" t="n"/>
      <c r="L162" s="17" t="n"/>
      <c r="M162" s="22">
        <f>IF(A162="","",IF(OR(K162="",L162="",D162="",E162="",D162="未確認",E162="未確認"),"判定保留",IFERROR(IF(OR(D162="はい",E162="はい"),INDEX('判定表'!$D:$D,MATCH("L|"&amp;INDEX('判定表'!$D:$D,MATCH("D|"&amp;K162&amp;"|"&amp;L162,'判定表'!$A:$A,0)),'判定表'!$A:$A,0)),INDEX('判定表'!$D:$D,MATCH("D|"&amp;K162&amp;"|"&amp;L162,'判定表'!$A:$A,0))),"判定表にない組み合わせ")))</f>
        <v/>
      </c>
      <c r="N162" s="22">
        <f>IF(A162="","",IF(J162="判定保留","判定保留",IFERROR(INDEX('判定表'!$D:$D,MATCH("S|"&amp;J162,'判定表'!$A:$A,0)),"判定表にない回答")))</f>
        <v/>
      </c>
      <c r="O162" s="22">
        <f>IF(A162="","",IF(N162="留保","—",IF(OR(N162="判定保留",M162="判定保留"),"判定保留",IFERROR(INDEX('判定表'!$D:$D,MATCH("T|"&amp;J162&amp;"|"&amp;M162,'判定表'!$A:$A,0)),"判定表にない組み合わせ"))))</f>
        <v/>
      </c>
    </row>
    <row r="163">
      <c r="A163" s="17" t="n"/>
      <c r="B163" s="17" t="n"/>
      <c r="C163" s="17" t="n"/>
      <c r="D163" s="17" t="n"/>
      <c r="E163" s="17" t="n"/>
      <c r="F163" s="29" t="n"/>
      <c r="G163" s="17" t="n"/>
      <c r="H163" s="17" t="n"/>
      <c r="I163" s="17" t="n"/>
      <c r="J163" s="22">
        <f>IF(A163="","",IF(COUNTA(G163:I163)&lt;3,"判定保留",IFERROR(CHOOSE(MAX(INDEX('判定表'!$D:$D,MATCH("E|利用範囲|"&amp;G163,'判定表'!$A:$A,0)),INDEX('判定表'!$D:$D,MATCH("E|データの利用範囲|"&amp;H163,'判定表'!$A:$A,0)),INDEX('判定表'!$D:$D,MATCH("E|環境|"&amp;I163,'判定表'!$A:$A,0)))+1,"低","中","高"),"判定表にない回答")))</f>
        <v/>
      </c>
      <c r="K163" s="17" t="n"/>
      <c r="L163" s="17" t="n"/>
      <c r="M163" s="22">
        <f>IF(A163="","",IF(OR(K163="",L163="",D163="",E163="",D163="未確認",E163="未確認"),"判定保留",IFERROR(IF(OR(D163="はい",E163="はい"),INDEX('判定表'!$D:$D,MATCH("L|"&amp;INDEX('判定表'!$D:$D,MATCH("D|"&amp;K163&amp;"|"&amp;L163,'判定表'!$A:$A,0)),'判定表'!$A:$A,0)),INDEX('判定表'!$D:$D,MATCH("D|"&amp;K163&amp;"|"&amp;L163,'判定表'!$A:$A,0))),"判定表にない組み合わせ")))</f>
        <v/>
      </c>
      <c r="N163" s="22">
        <f>IF(A163="","",IF(J163="判定保留","判定保留",IFERROR(INDEX('判定表'!$D:$D,MATCH("S|"&amp;J163,'判定表'!$A:$A,0)),"判定表にない回答")))</f>
        <v/>
      </c>
      <c r="O163" s="22">
        <f>IF(A163="","",IF(N163="留保","—",IF(OR(N163="判定保留",M163="判定保留"),"判定保留",IFERROR(INDEX('判定表'!$D:$D,MATCH("T|"&amp;J163&amp;"|"&amp;M163,'判定表'!$A:$A,0)),"判定表にない組み合わせ"))))</f>
        <v/>
      </c>
    </row>
    <row r="164">
      <c r="A164" s="17" t="n"/>
      <c r="B164" s="17" t="n"/>
      <c r="C164" s="17" t="n"/>
      <c r="D164" s="17" t="n"/>
      <c r="E164" s="17" t="n"/>
      <c r="F164" s="29" t="n"/>
      <c r="G164" s="17" t="n"/>
      <c r="H164" s="17" t="n"/>
      <c r="I164" s="17" t="n"/>
      <c r="J164" s="22">
        <f>IF(A164="","",IF(COUNTA(G164:I164)&lt;3,"判定保留",IFERROR(CHOOSE(MAX(INDEX('判定表'!$D:$D,MATCH("E|利用範囲|"&amp;G164,'判定表'!$A:$A,0)),INDEX('判定表'!$D:$D,MATCH("E|データの利用範囲|"&amp;H164,'判定表'!$A:$A,0)),INDEX('判定表'!$D:$D,MATCH("E|環境|"&amp;I164,'判定表'!$A:$A,0)))+1,"低","中","高"),"判定表にない回答")))</f>
        <v/>
      </c>
      <c r="K164" s="17" t="n"/>
      <c r="L164" s="17" t="n"/>
      <c r="M164" s="22">
        <f>IF(A164="","",IF(OR(K164="",L164="",D164="",E164="",D164="未確認",E164="未確認"),"判定保留",IFERROR(IF(OR(D164="はい",E164="はい"),INDEX('判定表'!$D:$D,MATCH("L|"&amp;INDEX('判定表'!$D:$D,MATCH("D|"&amp;K164&amp;"|"&amp;L164,'判定表'!$A:$A,0)),'判定表'!$A:$A,0)),INDEX('判定表'!$D:$D,MATCH("D|"&amp;K164&amp;"|"&amp;L164,'判定表'!$A:$A,0))),"判定表にない組み合わせ")))</f>
        <v/>
      </c>
      <c r="N164" s="22">
        <f>IF(A164="","",IF(J164="判定保留","判定保留",IFERROR(INDEX('判定表'!$D:$D,MATCH("S|"&amp;J164,'判定表'!$A:$A,0)),"判定表にない回答")))</f>
        <v/>
      </c>
      <c r="O164" s="22">
        <f>IF(A164="","",IF(N164="留保","—",IF(OR(N164="判定保留",M164="判定保留"),"判定保留",IFERROR(INDEX('判定表'!$D:$D,MATCH("T|"&amp;J164&amp;"|"&amp;M164,'判定表'!$A:$A,0)),"判定表にない組み合わせ"))))</f>
        <v/>
      </c>
    </row>
    <row r="165">
      <c r="A165" s="17" t="n"/>
      <c r="B165" s="17" t="n"/>
      <c r="C165" s="17" t="n"/>
      <c r="D165" s="17" t="n"/>
      <c r="E165" s="17" t="n"/>
      <c r="F165" s="29" t="n"/>
      <c r="G165" s="17" t="n"/>
      <c r="H165" s="17" t="n"/>
      <c r="I165" s="17" t="n"/>
      <c r="J165" s="22">
        <f>IF(A165="","",IF(COUNTA(G165:I165)&lt;3,"判定保留",IFERROR(CHOOSE(MAX(INDEX('判定表'!$D:$D,MATCH("E|利用範囲|"&amp;G165,'判定表'!$A:$A,0)),INDEX('判定表'!$D:$D,MATCH("E|データの利用範囲|"&amp;H165,'判定表'!$A:$A,0)),INDEX('判定表'!$D:$D,MATCH("E|環境|"&amp;I165,'判定表'!$A:$A,0)))+1,"低","中","高"),"判定表にない回答")))</f>
        <v/>
      </c>
      <c r="K165" s="17" t="n"/>
      <c r="L165" s="17" t="n"/>
      <c r="M165" s="22">
        <f>IF(A165="","",IF(OR(K165="",L165="",D165="",E165="",D165="未確認",E165="未確認"),"判定保留",IFERROR(IF(OR(D165="はい",E165="はい"),INDEX('判定表'!$D:$D,MATCH("L|"&amp;INDEX('判定表'!$D:$D,MATCH("D|"&amp;K165&amp;"|"&amp;L165,'判定表'!$A:$A,0)),'判定表'!$A:$A,0)),INDEX('判定表'!$D:$D,MATCH("D|"&amp;K165&amp;"|"&amp;L165,'判定表'!$A:$A,0))),"判定表にない組み合わせ")))</f>
        <v/>
      </c>
      <c r="N165" s="22">
        <f>IF(A165="","",IF(J165="判定保留","判定保留",IFERROR(INDEX('判定表'!$D:$D,MATCH("S|"&amp;J165,'判定表'!$A:$A,0)),"判定表にない回答")))</f>
        <v/>
      </c>
      <c r="O165" s="22">
        <f>IF(A165="","",IF(N165="留保","—",IF(OR(N165="判定保留",M165="判定保留"),"判定保留",IFERROR(INDEX('判定表'!$D:$D,MATCH("T|"&amp;J165&amp;"|"&amp;M165,'判定表'!$A:$A,0)),"判定表にない組み合わせ"))))</f>
        <v/>
      </c>
    </row>
    <row r="166">
      <c r="A166" s="17" t="n"/>
      <c r="B166" s="17" t="n"/>
      <c r="C166" s="17" t="n"/>
      <c r="D166" s="17" t="n"/>
      <c r="E166" s="17" t="n"/>
      <c r="F166" s="29" t="n"/>
      <c r="G166" s="17" t="n"/>
      <c r="H166" s="17" t="n"/>
      <c r="I166" s="17" t="n"/>
      <c r="J166" s="22">
        <f>IF(A166="","",IF(COUNTA(G166:I166)&lt;3,"判定保留",IFERROR(CHOOSE(MAX(INDEX('判定表'!$D:$D,MATCH("E|利用範囲|"&amp;G166,'判定表'!$A:$A,0)),INDEX('判定表'!$D:$D,MATCH("E|データの利用範囲|"&amp;H166,'判定表'!$A:$A,0)),INDEX('判定表'!$D:$D,MATCH("E|環境|"&amp;I166,'判定表'!$A:$A,0)))+1,"低","中","高"),"判定表にない回答")))</f>
        <v/>
      </c>
      <c r="K166" s="17" t="n"/>
      <c r="L166" s="17" t="n"/>
      <c r="M166" s="22">
        <f>IF(A166="","",IF(OR(K166="",L166="",D166="",E166="",D166="未確認",E166="未確認"),"判定保留",IFERROR(IF(OR(D166="はい",E166="はい"),INDEX('判定表'!$D:$D,MATCH("L|"&amp;INDEX('判定表'!$D:$D,MATCH("D|"&amp;K166&amp;"|"&amp;L166,'判定表'!$A:$A,0)),'判定表'!$A:$A,0)),INDEX('判定表'!$D:$D,MATCH("D|"&amp;K166&amp;"|"&amp;L166,'判定表'!$A:$A,0))),"判定表にない組み合わせ")))</f>
        <v/>
      </c>
      <c r="N166" s="22">
        <f>IF(A166="","",IF(J166="判定保留","判定保留",IFERROR(INDEX('判定表'!$D:$D,MATCH("S|"&amp;J166,'判定表'!$A:$A,0)),"判定表にない回答")))</f>
        <v/>
      </c>
      <c r="O166" s="22">
        <f>IF(A166="","",IF(N166="留保","—",IF(OR(N166="判定保留",M166="判定保留"),"判定保留",IFERROR(INDEX('判定表'!$D:$D,MATCH("T|"&amp;J166&amp;"|"&amp;M166,'判定表'!$A:$A,0)),"判定表にない組み合わせ"))))</f>
        <v/>
      </c>
    </row>
    <row r="167">
      <c r="A167" s="17" t="n"/>
      <c r="B167" s="17" t="n"/>
      <c r="C167" s="17" t="n"/>
      <c r="D167" s="17" t="n"/>
      <c r="E167" s="17" t="n"/>
      <c r="F167" s="29" t="n"/>
      <c r="G167" s="17" t="n"/>
      <c r="H167" s="17" t="n"/>
      <c r="I167" s="17" t="n"/>
      <c r="J167" s="22">
        <f>IF(A167="","",IF(COUNTA(G167:I167)&lt;3,"判定保留",IFERROR(CHOOSE(MAX(INDEX('判定表'!$D:$D,MATCH("E|利用範囲|"&amp;G167,'判定表'!$A:$A,0)),INDEX('判定表'!$D:$D,MATCH("E|データの利用範囲|"&amp;H167,'判定表'!$A:$A,0)),INDEX('判定表'!$D:$D,MATCH("E|環境|"&amp;I167,'判定表'!$A:$A,0)))+1,"低","中","高"),"判定表にない回答")))</f>
        <v/>
      </c>
      <c r="K167" s="17" t="n"/>
      <c r="L167" s="17" t="n"/>
      <c r="M167" s="22">
        <f>IF(A167="","",IF(OR(K167="",L167="",D167="",E167="",D167="未確認",E167="未確認"),"判定保留",IFERROR(IF(OR(D167="はい",E167="はい"),INDEX('判定表'!$D:$D,MATCH("L|"&amp;INDEX('判定表'!$D:$D,MATCH("D|"&amp;K167&amp;"|"&amp;L167,'判定表'!$A:$A,0)),'判定表'!$A:$A,0)),INDEX('判定表'!$D:$D,MATCH("D|"&amp;K167&amp;"|"&amp;L167,'判定表'!$A:$A,0))),"判定表にない組み合わせ")))</f>
        <v/>
      </c>
      <c r="N167" s="22">
        <f>IF(A167="","",IF(J167="判定保留","判定保留",IFERROR(INDEX('判定表'!$D:$D,MATCH("S|"&amp;J167,'判定表'!$A:$A,0)),"判定表にない回答")))</f>
        <v/>
      </c>
      <c r="O167" s="22">
        <f>IF(A167="","",IF(N167="留保","—",IF(OR(N167="判定保留",M167="判定保留"),"判定保留",IFERROR(INDEX('判定表'!$D:$D,MATCH("T|"&amp;J167&amp;"|"&amp;M167,'判定表'!$A:$A,0)),"判定表にない組み合わせ"))))</f>
        <v/>
      </c>
    </row>
    <row r="168">
      <c r="A168" s="17" t="n"/>
      <c r="B168" s="17" t="n"/>
      <c r="C168" s="17" t="n"/>
      <c r="D168" s="17" t="n"/>
      <c r="E168" s="17" t="n"/>
      <c r="F168" s="29" t="n"/>
      <c r="G168" s="17" t="n"/>
      <c r="H168" s="17" t="n"/>
      <c r="I168" s="17" t="n"/>
      <c r="J168" s="22">
        <f>IF(A168="","",IF(COUNTA(G168:I168)&lt;3,"判定保留",IFERROR(CHOOSE(MAX(INDEX('判定表'!$D:$D,MATCH("E|利用範囲|"&amp;G168,'判定表'!$A:$A,0)),INDEX('判定表'!$D:$D,MATCH("E|データの利用範囲|"&amp;H168,'判定表'!$A:$A,0)),INDEX('判定表'!$D:$D,MATCH("E|環境|"&amp;I168,'判定表'!$A:$A,0)))+1,"低","中","高"),"判定表にない回答")))</f>
        <v/>
      </c>
      <c r="K168" s="17" t="n"/>
      <c r="L168" s="17" t="n"/>
      <c r="M168" s="22">
        <f>IF(A168="","",IF(OR(K168="",L168="",D168="",E168="",D168="未確認",E168="未確認"),"判定保留",IFERROR(IF(OR(D168="はい",E168="はい"),INDEX('判定表'!$D:$D,MATCH("L|"&amp;INDEX('判定表'!$D:$D,MATCH("D|"&amp;K168&amp;"|"&amp;L168,'判定表'!$A:$A,0)),'判定表'!$A:$A,0)),INDEX('判定表'!$D:$D,MATCH("D|"&amp;K168&amp;"|"&amp;L168,'判定表'!$A:$A,0))),"判定表にない組み合わせ")))</f>
        <v/>
      </c>
      <c r="N168" s="22">
        <f>IF(A168="","",IF(J168="判定保留","判定保留",IFERROR(INDEX('判定表'!$D:$D,MATCH("S|"&amp;J168,'判定表'!$A:$A,0)),"判定表にない回答")))</f>
        <v/>
      </c>
      <c r="O168" s="22">
        <f>IF(A168="","",IF(N168="留保","—",IF(OR(N168="判定保留",M168="判定保留"),"判定保留",IFERROR(INDEX('判定表'!$D:$D,MATCH("T|"&amp;J168&amp;"|"&amp;M168,'判定表'!$A:$A,0)),"判定表にない組み合わせ"))))</f>
        <v/>
      </c>
    </row>
    <row r="169">
      <c r="A169" s="17" t="n"/>
      <c r="B169" s="17" t="n"/>
      <c r="C169" s="17" t="n"/>
      <c r="D169" s="17" t="n"/>
      <c r="E169" s="17" t="n"/>
      <c r="F169" s="29" t="n"/>
      <c r="G169" s="17" t="n"/>
      <c r="H169" s="17" t="n"/>
      <c r="I169" s="17" t="n"/>
      <c r="J169" s="22">
        <f>IF(A169="","",IF(COUNTA(G169:I169)&lt;3,"判定保留",IFERROR(CHOOSE(MAX(INDEX('判定表'!$D:$D,MATCH("E|利用範囲|"&amp;G169,'判定表'!$A:$A,0)),INDEX('判定表'!$D:$D,MATCH("E|データの利用範囲|"&amp;H169,'判定表'!$A:$A,0)),INDEX('判定表'!$D:$D,MATCH("E|環境|"&amp;I169,'判定表'!$A:$A,0)))+1,"低","中","高"),"判定表にない回答")))</f>
        <v/>
      </c>
      <c r="K169" s="17" t="n"/>
      <c r="L169" s="17" t="n"/>
      <c r="M169" s="22">
        <f>IF(A169="","",IF(OR(K169="",L169="",D169="",E169="",D169="未確認",E169="未確認"),"判定保留",IFERROR(IF(OR(D169="はい",E169="はい"),INDEX('判定表'!$D:$D,MATCH("L|"&amp;INDEX('判定表'!$D:$D,MATCH("D|"&amp;K169&amp;"|"&amp;L169,'判定表'!$A:$A,0)),'判定表'!$A:$A,0)),INDEX('判定表'!$D:$D,MATCH("D|"&amp;K169&amp;"|"&amp;L169,'判定表'!$A:$A,0))),"判定表にない組み合わせ")))</f>
        <v/>
      </c>
      <c r="N169" s="22">
        <f>IF(A169="","",IF(J169="判定保留","判定保留",IFERROR(INDEX('判定表'!$D:$D,MATCH("S|"&amp;J169,'判定表'!$A:$A,0)),"判定表にない回答")))</f>
        <v/>
      </c>
      <c r="O169" s="22">
        <f>IF(A169="","",IF(N169="留保","—",IF(OR(N169="判定保留",M169="判定保留"),"判定保留",IFERROR(INDEX('判定表'!$D:$D,MATCH("T|"&amp;J169&amp;"|"&amp;M169,'判定表'!$A:$A,0)),"判定表にない組み合わせ"))))</f>
        <v/>
      </c>
    </row>
    <row r="170">
      <c r="A170" s="17" t="n"/>
      <c r="B170" s="17" t="n"/>
      <c r="C170" s="17" t="n"/>
      <c r="D170" s="17" t="n"/>
      <c r="E170" s="17" t="n"/>
      <c r="F170" s="29" t="n"/>
      <c r="G170" s="17" t="n"/>
      <c r="H170" s="17" t="n"/>
      <c r="I170" s="17" t="n"/>
      <c r="J170" s="22">
        <f>IF(A170="","",IF(COUNTA(G170:I170)&lt;3,"判定保留",IFERROR(CHOOSE(MAX(INDEX('判定表'!$D:$D,MATCH("E|利用範囲|"&amp;G170,'判定表'!$A:$A,0)),INDEX('判定表'!$D:$D,MATCH("E|データの利用範囲|"&amp;H170,'判定表'!$A:$A,0)),INDEX('判定表'!$D:$D,MATCH("E|環境|"&amp;I170,'判定表'!$A:$A,0)))+1,"低","中","高"),"判定表にない回答")))</f>
        <v/>
      </c>
      <c r="K170" s="17" t="n"/>
      <c r="L170" s="17" t="n"/>
      <c r="M170" s="22">
        <f>IF(A170="","",IF(OR(K170="",L170="",D170="",E170="",D170="未確認",E170="未確認"),"判定保留",IFERROR(IF(OR(D170="はい",E170="はい"),INDEX('判定表'!$D:$D,MATCH("L|"&amp;INDEX('判定表'!$D:$D,MATCH("D|"&amp;K170&amp;"|"&amp;L170,'判定表'!$A:$A,0)),'判定表'!$A:$A,0)),INDEX('判定表'!$D:$D,MATCH("D|"&amp;K170&amp;"|"&amp;L170,'判定表'!$A:$A,0))),"判定表にない組み合わせ")))</f>
        <v/>
      </c>
      <c r="N170" s="22">
        <f>IF(A170="","",IF(J170="判定保留","判定保留",IFERROR(INDEX('判定表'!$D:$D,MATCH("S|"&amp;J170,'判定表'!$A:$A,0)),"判定表にない回答")))</f>
        <v/>
      </c>
      <c r="O170" s="22">
        <f>IF(A170="","",IF(N170="留保","—",IF(OR(N170="判定保留",M170="判定保留"),"判定保留",IFERROR(INDEX('判定表'!$D:$D,MATCH("T|"&amp;J170&amp;"|"&amp;M170,'判定表'!$A:$A,0)),"判定表にない組み合わせ"))))</f>
        <v/>
      </c>
    </row>
    <row r="171">
      <c r="A171" s="17" t="n"/>
      <c r="B171" s="17" t="n"/>
      <c r="C171" s="17" t="n"/>
      <c r="D171" s="17" t="n"/>
      <c r="E171" s="17" t="n"/>
      <c r="F171" s="29" t="n"/>
      <c r="G171" s="17" t="n"/>
      <c r="H171" s="17" t="n"/>
      <c r="I171" s="17" t="n"/>
      <c r="J171" s="22">
        <f>IF(A171="","",IF(COUNTA(G171:I171)&lt;3,"判定保留",IFERROR(CHOOSE(MAX(INDEX('判定表'!$D:$D,MATCH("E|利用範囲|"&amp;G171,'判定表'!$A:$A,0)),INDEX('判定表'!$D:$D,MATCH("E|データの利用範囲|"&amp;H171,'判定表'!$A:$A,0)),INDEX('判定表'!$D:$D,MATCH("E|環境|"&amp;I171,'判定表'!$A:$A,0)))+1,"低","中","高"),"判定表にない回答")))</f>
        <v/>
      </c>
      <c r="K171" s="17" t="n"/>
      <c r="L171" s="17" t="n"/>
      <c r="M171" s="22">
        <f>IF(A171="","",IF(OR(K171="",L171="",D171="",E171="",D171="未確認",E171="未確認"),"判定保留",IFERROR(IF(OR(D171="はい",E171="はい"),INDEX('判定表'!$D:$D,MATCH("L|"&amp;INDEX('判定表'!$D:$D,MATCH("D|"&amp;K171&amp;"|"&amp;L171,'判定表'!$A:$A,0)),'判定表'!$A:$A,0)),INDEX('判定表'!$D:$D,MATCH("D|"&amp;K171&amp;"|"&amp;L171,'判定表'!$A:$A,0))),"判定表にない組み合わせ")))</f>
        <v/>
      </c>
      <c r="N171" s="22">
        <f>IF(A171="","",IF(J171="判定保留","判定保留",IFERROR(INDEX('判定表'!$D:$D,MATCH("S|"&amp;J171,'判定表'!$A:$A,0)),"判定表にない回答")))</f>
        <v/>
      </c>
      <c r="O171" s="22">
        <f>IF(A171="","",IF(N171="留保","—",IF(OR(N171="判定保留",M171="判定保留"),"判定保留",IFERROR(INDEX('判定表'!$D:$D,MATCH("T|"&amp;J171&amp;"|"&amp;M171,'判定表'!$A:$A,0)),"判定表にない組み合わせ"))))</f>
        <v/>
      </c>
    </row>
    <row r="172">
      <c r="A172" s="17" t="n"/>
      <c r="B172" s="17" t="n"/>
      <c r="C172" s="17" t="n"/>
      <c r="D172" s="17" t="n"/>
      <c r="E172" s="17" t="n"/>
      <c r="F172" s="29" t="n"/>
      <c r="G172" s="17" t="n"/>
      <c r="H172" s="17" t="n"/>
      <c r="I172" s="17" t="n"/>
      <c r="J172" s="22">
        <f>IF(A172="","",IF(COUNTA(G172:I172)&lt;3,"判定保留",IFERROR(CHOOSE(MAX(INDEX('判定表'!$D:$D,MATCH("E|利用範囲|"&amp;G172,'判定表'!$A:$A,0)),INDEX('判定表'!$D:$D,MATCH("E|データの利用範囲|"&amp;H172,'判定表'!$A:$A,0)),INDEX('判定表'!$D:$D,MATCH("E|環境|"&amp;I172,'判定表'!$A:$A,0)))+1,"低","中","高"),"判定表にない回答")))</f>
        <v/>
      </c>
      <c r="K172" s="17" t="n"/>
      <c r="L172" s="17" t="n"/>
      <c r="M172" s="22">
        <f>IF(A172="","",IF(OR(K172="",L172="",D172="",E172="",D172="未確認",E172="未確認"),"判定保留",IFERROR(IF(OR(D172="はい",E172="はい"),INDEX('判定表'!$D:$D,MATCH("L|"&amp;INDEX('判定表'!$D:$D,MATCH("D|"&amp;K172&amp;"|"&amp;L172,'判定表'!$A:$A,0)),'判定表'!$A:$A,0)),INDEX('判定表'!$D:$D,MATCH("D|"&amp;K172&amp;"|"&amp;L172,'判定表'!$A:$A,0))),"判定表にない組み合わせ")))</f>
        <v/>
      </c>
      <c r="N172" s="22">
        <f>IF(A172="","",IF(J172="判定保留","判定保留",IFERROR(INDEX('判定表'!$D:$D,MATCH("S|"&amp;J172,'判定表'!$A:$A,0)),"判定表にない回答")))</f>
        <v/>
      </c>
      <c r="O172" s="22">
        <f>IF(A172="","",IF(N172="留保","—",IF(OR(N172="判定保留",M172="判定保留"),"判定保留",IFERROR(INDEX('判定表'!$D:$D,MATCH("T|"&amp;J172&amp;"|"&amp;M172,'判定表'!$A:$A,0)),"判定表にない組み合わせ"))))</f>
        <v/>
      </c>
    </row>
    <row r="173">
      <c r="A173" s="17" t="n"/>
      <c r="B173" s="17" t="n"/>
      <c r="C173" s="17" t="n"/>
      <c r="D173" s="17" t="n"/>
      <c r="E173" s="17" t="n"/>
      <c r="F173" s="29" t="n"/>
      <c r="G173" s="17" t="n"/>
      <c r="H173" s="17" t="n"/>
      <c r="I173" s="17" t="n"/>
      <c r="J173" s="22">
        <f>IF(A173="","",IF(COUNTA(G173:I173)&lt;3,"判定保留",IFERROR(CHOOSE(MAX(INDEX('判定表'!$D:$D,MATCH("E|利用範囲|"&amp;G173,'判定表'!$A:$A,0)),INDEX('判定表'!$D:$D,MATCH("E|データの利用範囲|"&amp;H173,'判定表'!$A:$A,0)),INDEX('判定表'!$D:$D,MATCH("E|環境|"&amp;I173,'判定表'!$A:$A,0)))+1,"低","中","高"),"判定表にない回答")))</f>
        <v/>
      </c>
      <c r="K173" s="17" t="n"/>
      <c r="L173" s="17" t="n"/>
      <c r="M173" s="22">
        <f>IF(A173="","",IF(OR(K173="",L173="",D173="",E173="",D173="未確認",E173="未確認"),"判定保留",IFERROR(IF(OR(D173="はい",E173="はい"),INDEX('判定表'!$D:$D,MATCH("L|"&amp;INDEX('判定表'!$D:$D,MATCH("D|"&amp;K173&amp;"|"&amp;L173,'判定表'!$A:$A,0)),'判定表'!$A:$A,0)),INDEX('判定表'!$D:$D,MATCH("D|"&amp;K173&amp;"|"&amp;L173,'判定表'!$A:$A,0))),"判定表にない組み合わせ")))</f>
        <v/>
      </c>
      <c r="N173" s="22">
        <f>IF(A173="","",IF(J173="判定保留","判定保留",IFERROR(INDEX('判定表'!$D:$D,MATCH("S|"&amp;J173,'判定表'!$A:$A,0)),"判定表にない回答")))</f>
        <v/>
      </c>
      <c r="O173" s="22">
        <f>IF(A173="","",IF(N173="留保","—",IF(OR(N173="判定保留",M173="判定保留"),"判定保留",IFERROR(INDEX('判定表'!$D:$D,MATCH("T|"&amp;J173&amp;"|"&amp;M173,'判定表'!$A:$A,0)),"判定表にない組み合わせ"))))</f>
        <v/>
      </c>
    </row>
    <row r="174">
      <c r="A174" s="17" t="n"/>
      <c r="B174" s="17" t="n"/>
      <c r="C174" s="17" t="n"/>
      <c r="D174" s="17" t="n"/>
      <c r="E174" s="17" t="n"/>
      <c r="F174" s="29" t="n"/>
      <c r="G174" s="17" t="n"/>
      <c r="H174" s="17" t="n"/>
      <c r="I174" s="17" t="n"/>
      <c r="J174" s="22">
        <f>IF(A174="","",IF(COUNTA(G174:I174)&lt;3,"判定保留",IFERROR(CHOOSE(MAX(INDEX('判定表'!$D:$D,MATCH("E|利用範囲|"&amp;G174,'判定表'!$A:$A,0)),INDEX('判定表'!$D:$D,MATCH("E|データの利用範囲|"&amp;H174,'判定表'!$A:$A,0)),INDEX('判定表'!$D:$D,MATCH("E|環境|"&amp;I174,'判定表'!$A:$A,0)))+1,"低","中","高"),"判定表にない回答")))</f>
        <v/>
      </c>
      <c r="K174" s="17" t="n"/>
      <c r="L174" s="17" t="n"/>
      <c r="M174" s="22">
        <f>IF(A174="","",IF(OR(K174="",L174="",D174="",E174="",D174="未確認",E174="未確認"),"判定保留",IFERROR(IF(OR(D174="はい",E174="はい"),INDEX('判定表'!$D:$D,MATCH("L|"&amp;INDEX('判定表'!$D:$D,MATCH("D|"&amp;K174&amp;"|"&amp;L174,'判定表'!$A:$A,0)),'判定表'!$A:$A,0)),INDEX('判定表'!$D:$D,MATCH("D|"&amp;K174&amp;"|"&amp;L174,'判定表'!$A:$A,0))),"判定表にない組み合わせ")))</f>
        <v/>
      </c>
      <c r="N174" s="22">
        <f>IF(A174="","",IF(J174="判定保留","判定保留",IFERROR(INDEX('判定表'!$D:$D,MATCH("S|"&amp;J174,'判定表'!$A:$A,0)),"判定表にない回答")))</f>
        <v/>
      </c>
      <c r="O174" s="22">
        <f>IF(A174="","",IF(N174="留保","—",IF(OR(N174="判定保留",M174="判定保留"),"判定保留",IFERROR(INDEX('判定表'!$D:$D,MATCH("T|"&amp;J174&amp;"|"&amp;M174,'判定表'!$A:$A,0)),"判定表にない組み合わせ"))))</f>
        <v/>
      </c>
    </row>
    <row r="175">
      <c r="A175" s="17" t="n"/>
      <c r="B175" s="17" t="n"/>
      <c r="C175" s="17" t="n"/>
      <c r="D175" s="17" t="n"/>
      <c r="E175" s="17" t="n"/>
      <c r="F175" s="29" t="n"/>
      <c r="G175" s="17" t="n"/>
      <c r="H175" s="17" t="n"/>
      <c r="I175" s="17" t="n"/>
      <c r="J175" s="22">
        <f>IF(A175="","",IF(COUNTA(G175:I175)&lt;3,"判定保留",IFERROR(CHOOSE(MAX(INDEX('判定表'!$D:$D,MATCH("E|利用範囲|"&amp;G175,'判定表'!$A:$A,0)),INDEX('判定表'!$D:$D,MATCH("E|データの利用範囲|"&amp;H175,'判定表'!$A:$A,0)),INDEX('判定表'!$D:$D,MATCH("E|環境|"&amp;I175,'判定表'!$A:$A,0)))+1,"低","中","高"),"判定表にない回答")))</f>
        <v/>
      </c>
      <c r="K175" s="17" t="n"/>
      <c r="L175" s="17" t="n"/>
      <c r="M175" s="22">
        <f>IF(A175="","",IF(OR(K175="",L175="",D175="",E175="",D175="未確認",E175="未確認"),"判定保留",IFERROR(IF(OR(D175="はい",E175="はい"),INDEX('判定表'!$D:$D,MATCH("L|"&amp;INDEX('判定表'!$D:$D,MATCH("D|"&amp;K175&amp;"|"&amp;L175,'判定表'!$A:$A,0)),'判定表'!$A:$A,0)),INDEX('判定表'!$D:$D,MATCH("D|"&amp;K175&amp;"|"&amp;L175,'判定表'!$A:$A,0))),"判定表にない組み合わせ")))</f>
        <v/>
      </c>
      <c r="N175" s="22">
        <f>IF(A175="","",IF(J175="判定保留","判定保留",IFERROR(INDEX('判定表'!$D:$D,MATCH("S|"&amp;J175,'判定表'!$A:$A,0)),"判定表にない回答")))</f>
        <v/>
      </c>
      <c r="O175" s="22">
        <f>IF(A175="","",IF(N175="留保","—",IF(OR(N175="判定保留",M175="判定保留"),"判定保留",IFERROR(INDEX('判定表'!$D:$D,MATCH("T|"&amp;J175&amp;"|"&amp;M175,'判定表'!$A:$A,0)),"判定表にない組み合わせ"))))</f>
        <v/>
      </c>
    </row>
    <row r="176">
      <c r="A176" s="17" t="n"/>
      <c r="B176" s="17" t="n"/>
      <c r="C176" s="17" t="n"/>
      <c r="D176" s="17" t="n"/>
      <c r="E176" s="17" t="n"/>
      <c r="F176" s="29" t="n"/>
      <c r="G176" s="17" t="n"/>
      <c r="H176" s="17" t="n"/>
      <c r="I176" s="17" t="n"/>
      <c r="J176" s="22">
        <f>IF(A176="","",IF(COUNTA(G176:I176)&lt;3,"判定保留",IFERROR(CHOOSE(MAX(INDEX('判定表'!$D:$D,MATCH("E|利用範囲|"&amp;G176,'判定表'!$A:$A,0)),INDEX('判定表'!$D:$D,MATCH("E|データの利用範囲|"&amp;H176,'判定表'!$A:$A,0)),INDEX('判定表'!$D:$D,MATCH("E|環境|"&amp;I176,'判定表'!$A:$A,0)))+1,"低","中","高"),"判定表にない回答")))</f>
        <v/>
      </c>
      <c r="K176" s="17" t="n"/>
      <c r="L176" s="17" t="n"/>
      <c r="M176" s="22">
        <f>IF(A176="","",IF(OR(K176="",L176="",D176="",E176="",D176="未確認",E176="未確認"),"判定保留",IFERROR(IF(OR(D176="はい",E176="はい"),INDEX('判定表'!$D:$D,MATCH("L|"&amp;INDEX('判定表'!$D:$D,MATCH("D|"&amp;K176&amp;"|"&amp;L176,'判定表'!$A:$A,0)),'判定表'!$A:$A,0)),INDEX('判定表'!$D:$D,MATCH("D|"&amp;K176&amp;"|"&amp;L176,'判定表'!$A:$A,0))),"判定表にない組み合わせ")))</f>
        <v/>
      </c>
      <c r="N176" s="22">
        <f>IF(A176="","",IF(J176="判定保留","判定保留",IFERROR(INDEX('判定表'!$D:$D,MATCH("S|"&amp;J176,'判定表'!$A:$A,0)),"判定表にない回答")))</f>
        <v/>
      </c>
      <c r="O176" s="22">
        <f>IF(A176="","",IF(N176="留保","—",IF(OR(N176="判定保留",M176="判定保留"),"判定保留",IFERROR(INDEX('判定表'!$D:$D,MATCH("T|"&amp;J176&amp;"|"&amp;M176,'判定表'!$A:$A,0)),"判定表にない組み合わせ"))))</f>
        <v/>
      </c>
    </row>
    <row r="177">
      <c r="A177" s="17" t="n"/>
      <c r="B177" s="17" t="n"/>
      <c r="C177" s="17" t="n"/>
      <c r="D177" s="17" t="n"/>
      <c r="E177" s="17" t="n"/>
      <c r="F177" s="29" t="n"/>
      <c r="G177" s="17" t="n"/>
      <c r="H177" s="17" t="n"/>
      <c r="I177" s="17" t="n"/>
      <c r="J177" s="22">
        <f>IF(A177="","",IF(COUNTA(G177:I177)&lt;3,"判定保留",IFERROR(CHOOSE(MAX(INDEX('判定表'!$D:$D,MATCH("E|利用範囲|"&amp;G177,'判定表'!$A:$A,0)),INDEX('判定表'!$D:$D,MATCH("E|データの利用範囲|"&amp;H177,'判定表'!$A:$A,0)),INDEX('判定表'!$D:$D,MATCH("E|環境|"&amp;I177,'判定表'!$A:$A,0)))+1,"低","中","高"),"判定表にない回答")))</f>
        <v/>
      </c>
      <c r="K177" s="17" t="n"/>
      <c r="L177" s="17" t="n"/>
      <c r="M177" s="22">
        <f>IF(A177="","",IF(OR(K177="",L177="",D177="",E177="",D177="未確認",E177="未確認"),"判定保留",IFERROR(IF(OR(D177="はい",E177="はい"),INDEX('判定表'!$D:$D,MATCH("L|"&amp;INDEX('判定表'!$D:$D,MATCH("D|"&amp;K177&amp;"|"&amp;L177,'判定表'!$A:$A,0)),'判定表'!$A:$A,0)),INDEX('判定表'!$D:$D,MATCH("D|"&amp;K177&amp;"|"&amp;L177,'判定表'!$A:$A,0))),"判定表にない組み合わせ")))</f>
        <v/>
      </c>
      <c r="N177" s="22">
        <f>IF(A177="","",IF(J177="判定保留","判定保留",IFERROR(INDEX('判定表'!$D:$D,MATCH("S|"&amp;J177,'判定表'!$A:$A,0)),"判定表にない回答")))</f>
        <v/>
      </c>
      <c r="O177" s="22">
        <f>IF(A177="","",IF(N177="留保","—",IF(OR(N177="判定保留",M177="判定保留"),"判定保留",IFERROR(INDEX('判定表'!$D:$D,MATCH("T|"&amp;J177&amp;"|"&amp;M177,'判定表'!$A:$A,0)),"判定表にない組み合わせ"))))</f>
        <v/>
      </c>
    </row>
    <row r="178">
      <c r="A178" s="17" t="n"/>
      <c r="B178" s="17" t="n"/>
      <c r="C178" s="17" t="n"/>
      <c r="D178" s="17" t="n"/>
      <c r="E178" s="17" t="n"/>
      <c r="F178" s="29" t="n"/>
      <c r="G178" s="17" t="n"/>
      <c r="H178" s="17" t="n"/>
      <c r="I178" s="17" t="n"/>
      <c r="J178" s="22">
        <f>IF(A178="","",IF(COUNTA(G178:I178)&lt;3,"判定保留",IFERROR(CHOOSE(MAX(INDEX('判定表'!$D:$D,MATCH("E|利用範囲|"&amp;G178,'判定表'!$A:$A,0)),INDEX('判定表'!$D:$D,MATCH("E|データの利用範囲|"&amp;H178,'判定表'!$A:$A,0)),INDEX('判定表'!$D:$D,MATCH("E|環境|"&amp;I178,'判定表'!$A:$A,0)))+1,"低","中","高"),"判定表にない回答")))</f>
        <v/>
      </c>
      <c r="K178" s="17" t="n"/>
      <c r="L178" s="17" t="n"/>
      <c r="M178" s="22">
        <f>IF(A178="","",IF(OR(K178="",L178="",D178="",E178="",D178="未確認",E178="未確認"),"判定保留",IFERROR(IF(OR(D178="はい",E178="はい"),INDEX('判定表'!$D:$D,MATCH("L|"&amp;INDEX('判定表'!$D:$D,MATCH("D|"&amp;K178&amp;"|"&amp;L178,'判定表'!$A:$A,0)),'判定表'!$A:$A,0)),INDEX('判定表'!$D:$D,MATCH("D|"&amp;K178&amp;"|"&amp;L178,'判定表'!$A:$A,0))),"判定表にない組み合わせ")))</f>
        <v/>
      </c>
      <c r="N178" s="22">
        <f>IF(A178="","",IF(J178="判定保留","判定保留",IFERROR(INDEX('判定表'!$D:$D,MATCH("S|"&amp;J178,'判定表'!$A:$A,0)),"判定表にない回答")))</f>
        <v/>
      </c>
      <c r="O178" s="22">
        <f>IF(A178="","",IF(N178="留保","—",IF(OR(N178="判定保留",M178="判定保留"),"判定保留",IFERROR(INDEX('判定表'!$D:$D,MATCH("T|"&amp;J178&amp;"|"&amp;M178,'判定表'!$A:$A,0)),"判定表にない組み合わせ"))))</f>
        <v/>
      </c>
    </row>
    <row r="179">
      <c r="A179" s="17" t="n"/>
      <c r="B179" s="17" t="n"/>
      <c r="C179" s="17" t="n"/>
      <c r="D179" s="17" t="n"/>
      <c r="E179" s="17" t="n"/>
      <c r="F179" s="29" t="n"/>
      <c r="G179" s="17" t="n"/>
      <c r="H179" s="17" t="n"/>
      <c r="I179" s="17" t="n"/>
      <c r="J179" s="22">
        <f>IF(A179="","",IF(COUNTA(G179:I179)&lt;3,"判定保留",IFERROR(CHOOSE(MAX(INDEX('判定表'!$D:$D,MATCH("E|利用範囲|"&amp;G179,'判定表'!$A:$A,0)),INDEX('判定表'!$D:$D,MATCH("E|データの利用範囲|"&amp;H179,'判定表'!$A:$A,0)),INDEX('判定表'!$D:$D,MATCH("E|環境|"&amp;I179,'判定表'!$A:$A,0)))+1,"低","中","高"),"判定表にない回答")))</f>
        <v/>
      </c>
      <c r="K179" s="17" t="n"/>
      <c r="L179" s="17" t="n"/>
      <c r="M179" s="22">
        <f>IF(A179="","",IF(OR(K179="",L179="",D179="",E179="",D179="未確認",E179="未確認"),"判定保留",IFERROR(IF(OR(D179="はい",E179="はい"),INDEX('判定表'!$D:$D,MATCH("L|"&amp;INDEX('判定表'!$D:$D,MATCH("D|"&amp;K179&amp;"|"&amp;L179,'判定表'!$A:$A,0)),'判定表'!$A:$A,0)),INDEX('判定表'!$D:$D,MATCH("D|"&amp;K179&amp;"|"&amp;L179,'判定表'!$A:$A,0))),"判定表にない組み合わせ")))</f>
        <v/>
      </c>
      <c r="N179" s="22">
        <f>IF(A179="","",IF(J179="判定保留","判定保留",IFERROR(INDEX('判定表'!$D:$D,MATCH("S|"&amp;J179,'判定表'!$A:$A,0)),"判定表にない回答")))</f>
        <v/>
      </c>
      <c r="O179" s="22">
        <f>IF(A179="","",IF(N179="留保","—",IF(OR(N179="判定保留",M179="判定保留"),"判定保留",IFERROR(INDEX('判定表'!$D:$D,MATCH("T|"&amp;J179&amp;"|"&amp;M179,'判定表'!$A:$A,0)),"判定表にない組み合わせ"))))</f>
        <v/>
      </c>
    </row>
    <row r="180">
      <c r="A180" s="17" t="n"/>
      <c r="B180" s="17" t="n"/>
      <c r="C180" s="17" t="n"/>
      <c r="D180" s="17" t="n"/>
      <c r="E180" s="17" t="n"/>
      <c r="F180" s="29" t="n"/>
      <c r="G180" s="17" t="n"/>
      <c r="H180" s="17" t="n"/>
      <c r="I180" s="17" t="n"/>
      <c r="J180" s="22">
        <f>IF(A180="","",IF(COUNTA(G180:I180)&lt;3,"判定保留",IFERROR(CHOOSE(MAX(INDEX('判定表'!$D:$D,MATCH("E|利用範囲|"&amp;G180,'判定表'!$A:$A,0)),INDEX('判定表'!$D:$D,MATCH("E|データの利用範囲|"&amp;H180,'判定表'!$A:$A,0)),INDEX('判定表'!$D:$D,MATCH("E|環境|"&amp;I180,'判定表'!$A:$A,0)))+1,"低","中","高"),"判定表にない回答")))</f>
        <v/>
      </c>
      <c r="K180" s="17" t="n"/>
      <c r="L180" s="17" t="n"/>
      <c r="M180" s="22">
        <f>IF(A180="","",IF(OR(K180="",L180="",D180="",E180="",D180="未確認",E180="未確認"),"判定保留",IFERROR(IF(OR(D180="はい",E180="はい"),INDEX('判定表'!$D:$D,MATCH("L|"&amp;INDEX('判定表'!$D:$D,MATCH("D|"&amp;K180&amp;"|"&amp;L180,'判定表'!$A:$A,0)),'判定表'!$A:$A,0)),INDEX('判定表'!$D:$D,MATCH("D|"&amp;K180&amp;"|"&amp;L180,'判定表'!$A:$A,0))),"判定表にない組み合わせ")))</f>
        <v/>
      </c>
      <c r="N180" s="22">
        <f>IF(A180="","",IF(J180="判定保留","判定保留",IFERROR(INDEX('判定表'!$D:$D,MATCH("S|"&amp;J180,'判定表'!$A:$A,0)),"判定表にない回答")))</f>
        <v/>
      </c>
      <c r="O180" s="22">
        <f>IF(A180="","",IF(N180="留保","—",IF(OR(N180="判定保留",M180="判定保留"),"判定保留",IFERROR(INDEX('判定表'!$D:$D,MATCH("T|"&amp;J180&amp;"|"&amp;M180,'判定表'!$A:$A,0)),"判定表にない組み合わせ"))))</f>
        <v/>
      </c>
    </row>
    <row r="181">
      <c r="A181" s="17" t="n"/>
      <c r="B181" s="17" t="n"/>
      <c r="C181" s="17" t="n"/>
      <c r="D181" s="17" t="n"/>
      <c r="E181" s="17" t="n"/>
      <c r="F181" s="29" t="n"/>
      <c r="G181" s="17" t="n"/>
      <c r="H181" s="17" t="n"/>
      <c r="I181" s="17" t="n"/>
      <c r="J181" s="22">
        <f>IF(A181="","",IF(COUNTA(G181:I181)&lt;3,"判定保留",IFERROR(CHOOSE(MAX(INDEX('判定表'!$D:$D,MATCH("E|利用範囲|"&amp;G181,'判定表'!$A:$A,0)),INDEX('判定表'!$D:$D,MATCH("E|データの利用範囲|"&amp;H181,'判定表'!$A:$A,0)),INDEX('判定表'!$D:$D,MATCH("E|環境|"&amp;I181,'判定表'!$A:$A,0)))+1,"低","中","高"),"判定表にない回答")))</f>
        <v/>
      </c>
      <c r="K181" s="17" t="n"/>
      <c r="L181" s="17" t="n"/>
      <c r="M181" s="22">
        <f>IF(A181="","",IF(OR(K181="",L181="",D181="",E181="",D181="未確認",E181="未確認"),"判定保留",IFERROR(IF(OR(D181="はい",E181="はい"),INDEX('判定表'!$D:$D,MATCH("L|"&amp;INDEX('判定表'!$D:$D,MATCH("D|"&amp;K181&amp;"|"&amp;L181,'判定表'!$A:$A,0)),'判定表'!$A:$A,0)),INDEX('判定表'!$D:$D,MATCH("D|"&amp;K181&amp;"|"&amp;L181,'判定表'!$A:$A,0))),"判定表にない組み合わせ")))</f>
        <v/>
      </c>
      <c r="N181" s="22">
        <f>IF(A181="","",IF(J181="判定保留","判定保留",IFERROR(INDEX('判定表'!$D:$D,MATCH("S|"&amp;J181,'判定表'!$A:$A,0)),"判定表にない回答")))</f>
        <v/>
      </c>
      <c r="O181" s="22">
        <f>IF(A181="","",IF(N181="留保","—",IF(OR(N181="判定保留",M181="判定保留"),"判定保留",IFERROR(INDEX('判定表'!$D:$D,MATCH("T|"&amp;J181&amp;"|"&amp;M181,'判定表'!$A:$A,0)),"判定表にない組み合わせ"))))</f>
        <v/>
      </c>
    </row>
    <row r="182">
      <c r="A182" s="17" t="n"/>
      <c r="B182" s="17" t="n"/>
      <c r="C182" s="17" t="n"/>
      <c r="D182" s="17" t="n"/>
      <c r="E182" s="17" t="n"/>
      <c r="F182" s="29" t="n"/>
      <c r="G182" s="17" t="n"/>
      <c r="H182" s="17" t="n"/>
      <c r="I182" s="17" t="n"/>
      <c r="J182" s="22">
        <f>IF(A182="","",IF(COUNTA(G182:I182)&lt;3,"判定保留",IFERROR(CHOOSE(MAX(INDEX('判定表'!$D:$D,MATCH("E|利用範囲|"&amp;G182,'判定表'!$A:$A,0)),INDEX('判定表'!$D:$D,MATCH("E|データの利用範囲|"&amp;H182,'判定表'!$A:$A,0)),INDEX('判定表'!$D:$D,MATCH("E|環境|"&amp;I182,'判定表'!$A:$A,0)))+1,"低","中","高"),"判定表にない回答")))</f>
        <v/>
      </c>
      <c r="K182" s="17" t="n"/>
      <c r="L182" s="17" t="n"/>
      <c r="M182" s="22">
        <f>IF(A182="","",IF(OR(K182="",L182="",D182="",E182="",D182="未確認",E182="未確認"),"判定保留",IFERROR(IF(OR(D182="はい",E182="はい"),INDEX('判定表'!$D:$D,MATCH("L|"&amp;INDEX('判定表'!$D:$D,MATCH("D|"&amp;K182&amp;"|"&amp;L182,'判定表'!$A:$A,0)),'判定表'!$A:$A,0)),INDEX('判定表'!$D:$D,MATCH("D|"&amp;K182&amp;"|"&amp;L182,'判定表'!$A:$A,0))),"判定表にない組み合わせ")))</f>
        <v/>
      </c>
      <c r="N182" s="22">
        <f>IF(A182="","",IF(J182="判定保留","判定保留",IFERROR(INDEX('判定表'!$D:$D,MATCH("S|"&amp;J182,'判定表'!$A:$A,0)),"判定表にない回答")))</f>
        <v/>
      </c>
      <c r="O182" s="22">
        <f>IF(A182="","",IF(N182="留保","—",IF(OR(N182="判定保留",M182="判定保留"),"判定保留",IFERROR(INDEX('判定表'!$D:$D,MATCH("T|"&amp;J182&amp;"|"&amp;M182,'判定表'!$A:$A,0)),"判定表にない組み合わせ"))))</f>
        <v/>
      </c>
    </row>
    <row r="183">
      <c r="A183" s="17" t="n"/>
      <c r="B183" s="17" t="n"/>
      <c r="C183" s="17" t="n"/>
      <c r="D183" s="17" t="n"/>
      <c r="E183" s="17" t="n"/>
      <c r="F183" s="29" t="n"/>
      <c r="G183" s="17" t="n"/>
      <c r="H183" s="17" t="n"/>
      <c r="I183" s="17" t="n"/>
      <c r="J183" s="22">
        <f>IF(A183="","",IF(COUNTA(G183:I183)&lt;3,"判定保留",IFERROR(CHOOSE(MAX(INDEX('判定表'!$D:$D,MATCH("E|利用範囲|"&amp;G183,'判定表'!$A:$A,0)),INDEX('判定表'!$D:$D,MATCH("E|データの利用範囲|"&amp;H183,'判定表'!$A:$A,0)),INDEX('判定表'!$D:$D,MATCH("E|環境|"&amp;I183,'判定表'!$A:$A,0)))+1,"低","中","高"),"判定表にない回答")))</f>
        <v/>
      </c>
      <c r="K183" s="17" t="n"/>
      <c r="L183" s="17" t="n"/>
      <c r="M183" s="22">
        <f>IF(A183="","",IF(OR(K183="",L183="",D183="",E183="",D183="未確認",E183="未確認"),"判定保留",IFERROR(IF(OR(D183="はい",E183="はい"),INDEX('判定表'!$D:$D,MATCH("L|"&amp;INDEX('判定表'!$D:$D,MATCH("D|"&amp;K183&amp;"|"&amp;L183,'判定表'!$A:$A,0)),'判定表'!$A:$A,0)),INDEX('判定表'!$D:$D,MATCH("D|"&amp;K183&amp;"|"&amp;L183,'判定表'!$A:$A,0))),"判定表にない組み合わせ")))</f>
        <v/>
      </c>
      <c r="N183" s="22">
        <f>IF(A183="","",IF(J183="判定保留","判定保留",IFERROR(INDEX('判定表'!$D:$D,MATCH("S|"&amp;J183,'判定表'!$A:$A,0)),"判定表にない回答")))</f>
        <v/>
      </c>
      <c r="O183" s="22">
        <f>IF(A183="","",IF(N183="留保","—",IF(OR(N183="判定保留",M183="判定保留"),"判定保留",IFERROR(INDEX('判定表'!$D:$D,MATCH("T|"&amp;J183&amp;"|"&amp;M183,'判定表'!$A:$A,0)),"判定表にない組み合わせ"))))</f>
        <v/>
      </c>
    </row>
    <row r="184">
      <c r="A184" s="17" t="n"/>
      <c r="B184" s="17" t="n"/>
      <c r="C184" s="17" t="n"/>
      <c r="D184" s="17" t="n"/>
      <c r="E184" s="17" t="n"/>
      <c r="F184" s="29" t="n"/>
      <c r="G184" s="17" t="n"/>
      <c r="H184" s="17" t="n"/>
      <c r="I184" s="17" t="n"/>
      <c r="J184" s="22">
        <f>IF(A184="","",IF(COUNTA(G184:I184)&lt;3,"判定保留",IFERROR(CHOOSE(MAX(INDEX('判定表'!$D:$D,MATCH("E|利用範囲|"&amp;G184,'判定表'!$A:$A,0)),INDEX('判定表'!$D:$D,MATCH("E|データの利用範囲|"&amp;H184,'判定表'!$A:$A,0)),INDEX('判定表'!$D:$D,MATCH("E|環境|"&amp;I184,'判定表'!$A:$A,0)))+1,"低","中","高"),"判定表にない回答")))</f>
        <v/>
      </c>
      <c r="K184" s="17" t="n"/>
      <c r="L184" s="17" t="n"/>
      <c r="M184" s="22">
        <f>IF(A184="","",IF(OR(K184="",L184="",D184="",E184="",D184="未確認",E184="未確認"),"判定保留",IFERROR(IF(OR(D184="はい",E184="はい"),INDEX('判定表'!$D:$D,MATCH("L|"&amp;INDEX('判定表'!$D:$D,MATCH("D|"&amp;K184&amp;"|"&amp;L184,'判定表'!$A:$A,0)),'判定表'!$A:$A,0)),INDEX('判定表'!$D:$D,MATCH("D|"&amp;K184&amp;"|"&amp;L184,'判定表'!$A:$A,0))),"判定表にない組み合わせ")))</f>
        <v/>
      </c>
      <c r="N184" s="22">
        <f>IF(A184="","",IF(J184="判定保留","判定保留",IFERROR(INDEX('判定表'!$D:$D,MATCH("S|"&amp;J184,'判定表'!$A:$A,0)),"判定表にない回答")))</f>
        <v/>
      </c>
      <c r="O184" s="22">
        <f>IF(A184="","",IF(N184="留保","—",IF(OR(N184="判定保留",M184="判定保留"),"判定保留",IFERROR(INDEX('判定表'!$D:$D,MATCH("T|"&amp;J184&amp;"|"&amp;M184,'判定表'!$A:$A,0)),"判定表にない組み合わせ"))))</f>
        <v/>
      </c>
    </row>
    <row r="185">
      <c r="A185" s="17" t="n"/>
      <c r="B185" s="17" t="n"/>
      <c r="C185" s="17" t="n"/>
      <c r="D185" s="17" t="n"/>
      <c r="E185" s="17" t="n"/>
      <c r="F185" s="29" t="n"/>
      <c r="G185" s="17" t="n"/>
      <c r="H185" s="17" t="n"/>
      <c r="I185" s="17" t="n"/>
      <c r="J185" s="22">
        <f>IF(A185="","",IF(COUNTA(G185:I185)&lt;3,"判定保留",IFERROR(CHOOSE(MAX(INDEX('判定表'!$D:$D,MATCH("E|利用範囲|"&amp;G185,'判定表'!$A:$A,0)),INDEX('判定表'!$D:$D,MATCH("E|データの利用範囲|"&amp;H185,'判定表'!$A:$A,0)),INDEX('判定表'!$D:$D,MATCH("E|環境|"&amp;I185,'判定表'!$A:$A,0)))+1,"低","中","高"),"判定表にない回答")))</f>
        <v/>
      </c>
      <c r="K185" s="17" t="n"/>
      <c r="L185" s="17" t="n"/>
      <c r="M185" s="22">
        <f>IF(A185="","",IF(OR(K185="",L185="",D185="",E185="",D185="未確認",E185="未確認"),"判定保留",IFERROR(IF(OR(D185="はい",E185="はい"),INDEX('判定表'!$D:$D,MATCH("L|"&amp;INDEX('判定表'!$D:$D,MATCH("D|"&amp;K185&amp;"|"&amp;L185,'判定表'!$A:$A,0)),'判定表'!$A:$A,0)),INDEX('判定表'!$D:$D,MATCH("D|"&amp;K185&amp;"|"&amp;L185,'判定表'!$A:$A,0))),"判定表にない組み合わせ")))</f>
        <v/>
      </c>
      <c r="N185" s="22">
        <f>IF(A185="","",IF(J185="判定保留","判定保留",IFERROR(INDEX('判定表'!$D:$D,MATCH("S|"&amp;J185,'判定表'!$A:$A,0)),"判定表にない回答")))</f>
        <v/>
      </c>
      <c r="O185" s="22">
        <f>IF(A185="","",IF(N185="留保","—",IF(OR(N185="判定保留",M185="判定保留"),"判定保留",IFERROR(INDEX('判定表'!$D:$D,MATCH("T|"&amp;J185&amp;"|"&amp;M185,'判定表'!$A:$A,0)),"判定表にない組み合わせ"))))</f>
        <v/>
      </c>
    </row>
    <row r="186">
      <c r="A186" s="17" t="n"/>
      <c r="B186" s="17" t="n"/>
      <c r="C186" s="17" t="n"/>
      <c r="D186" s="17" t="n"/>
      <c r="E186" s="17" t="n"/>
      <c r="F186" s="29" t="n"/>
      <c r="G186" s="17" t="n"/>
      <c r="H186" s="17" t="n"/>
      <c r="I186" s="17" t="n"/>
      <c r="J186" s="22">
        <f>IF(A186="","",IF(COUNTA(G186:I186)&lt;3,"判定保留",IFERROR(CHOOSE(MAX(INDEX('判定表'!$D:$D,MATCH("E|利用範囲|"&amp;G186,'判定表'!$A:$A,0)),INDEX('判定表'!$D:$D,MATCH("E|データの利用範囲|"&amp;H186,'判定表'!$A:$A,0)),INDEX('判定表'!$D:$D,MATCH("E|環境|"&amp;I186,'判定表'!$A:$A,0)))+1,"低","中","高"),"判定表にない回答")))</f>
        <v/>
      </c>
      <c r="K186" s="17" t="n"/>
      <c r="L186" s="17" t="n"/>
      <c r="M186" s="22">
        <f>IF(A186="","",IF(OR(K186="",L186="",D186="",E186="",D186="未確認",E186="未確認"),"判定保留",IFERROR(IF(OR(D186="はい",E186="はい"),INDEX('判定表'!$D:$D,MATCH("L|"&amp;INDEX('判定表'!$D:$D,MATCH("D|"&amp;K186&amp;"|"&amp;L186,'判定表'!$A:$A,0)),'判定表'!$A:$A,0)),INDEX('判定表'!$D:$D,MATCH("D|"&amp;K186&amp;"|"&amp;L186,'判定表'!$A:$A,0))),"判定表にない組み合わせ")))</f>
        <v/>
      </c>
      <c r="N186" s="22">
        <f>IF(A186="","",IF(J186="判定保留","判定保留",IFERROR(INDEX('判定表'!$D:$D,MATCH("S|"&amp;J186,'判定表'!$A:$A,0)),"判定表にない回答")))</f>
        <v/>
      </c>
      <c r="O186" s="22">
        <f>IF(A186="","",IF(N186="留保","—",IF(OR(N186="判定保留",M186="判定保留"),"判定保留",IFERROR(INDEX('判定表'!$D:$D,MATCH("T|"&amp;J186&amp;"|"&amp;M186,'判定表'!$A:$A,0)),"判定表にない組み合わせ"))))</f>
        <v/>
      </c>
    </row>
    <row r="187">
      <c r="A187" s="17" t="n"/>
      <c r="B187" s="17" t="n"/>
      <c r="C187" s="17" t="n"/>
      <c r="D187" s="17" t="n"/>
      <c r="E187" s="17" t="n"/>
      <c r="F187" s="29" t="n"/>
      <c r="G187" s="17" t="n"/>
      <c r="H187" s="17" t="n"/>
      <c r="I187" s="17" t="n"/>
      <c r="J187" s="22">
        <f>IF(A187="","",IF(COUNTA(G187:I187)&lt;3,"判定保留",IFERROR(CHOOSE(MAX(INDEX('判定表'!$D:$D,MATCH("E|利用範囲|"&amp;G187,'判定表'!$A:$A,0)),INDEX('判定表'!$D:$D,MATCH("E|データの利用範囲|"&amp;H187,'判定表'!$A:$A,0)),INDEX('判定表'!$D:$D,MATCH("E|環境|"&amp;I187,'判定表'!$A:$A,0)))+1,"低","中","高"),"判定表にない回答")))</f>
        <v/>
      </c>
      <c r="K187" s="17" t="n"/>
      <c r="L187" s="17" t="n"/>
      <c r="M187" s="22">
        <f>IF(A187="","",IF(OR(K187="",L187="",D187="",E187="",D187="未確認",E187="未確認"),"判定保留",IFERROR(IF(OR(D187="はい",E187="はい"),INDEX('判定表'!$D:$D,MATCH("L|"&amp;INDEX('判定表'!$D:$D,MATCH("D|"&amp;K187&amp;"|"&amp;L187,'判定表'!$A:$A,0)),'判定表'!$A:$A,0)),INDEX('判定表'!$D:$D,MATCH("D|"&amp;K187&amp;"|"&amp;L187,'判定表'!$A:$A,0))),"判定表にない組み合わせ")))</f>
        <v/>
      </c>
      <c r="N187" s="22">
        <f>IF(A187="","",IF(J187="判定保留","判定保留",IFERROR(INDEX('判定表'!$D:$D,MATCH("S|"&amp;J187,'判定表'!$A:$A,0)),"判定表にない回答")))</f>
        <v/>
      </c>
      <c r="O187" s="22">
        <f>IF(A187="","",IF(N187="留保","—",IF(OR(N187="判定保留",M187="判定保留"),"判定保留",IFERROR(INDEX('判定表'!$D:$D,MATCH("T|"&amp;J187&amp;"|"&amp;M187,'判定表'!$A:$A,0)),"判定表にない組み合わせ"))))</f>
        <v/>
      </c>
    </row>
    <row r="188">
      <c r="A188" s="17" t="n"/>
      <c r="B188" s="17" t="n"/>
      <c r="C188" s="17" t="n"/>
      <c r="D188" s="17" t="n"/>
      <c r="E188" s="17" t="n"/>
      <c r="F188" s="29" t="n"/>
      <c r="G188" s="17" t="n"/>
      <c r="H188" s="17" t="n"/>
      <c r="I188" s="17" t="n"/>
      <c r="J188" s="22">
        <f>IF(A188="","",IF(COUNTA(G188:I188)&lt;3,"判定保留",IFERROR(CHOOSE(MAX(INDEX('判定表'!$D:$D,MATCH("E|利用範囲|"&amp;G188,'判定表'!$A:$A,0)),INDEX('判定表'!$D:$D,MATCH("E|データの利用範囲|"&amp;H188,'判定表'!$A:$A,0)),INDEX('判定表'!$D:$D,MATCH("E|環境|"&amp;I188,'判定表'!$A:$A,0)))+1,"低","中","高"),"判定表にない回答")))</f>
        <v/>
      </c>
      <c r="K188" s="17" t="n"/>
      <c r="L188" s="17" t="n"/>
      <c r="M188" s="22">
        <f>IF(A188="","",IF(OR(K188="",L188="",D188="",E188="",D188="未確認",E188="未確認"),"判定保留",IFERROR(IF(OR(D188="はい",E188="はい"),INDEX('判定表'!$D:$D,MATCH("L|"&amp;INDEX('判定表'!$D:$D,MATCH("D|"&amp;K188&amp;"|"&amp;L188,'判定表'!$A:$A,0)),'判定表'!$A:$A,0)),INDEX('判定表'!$D:$D,MATCH("D|"&amp;K188&amp;"|"&amp;L188,'判定表'!$A:$A,0))),"判定表にない組み合わせ")))</f>
        <v/>
      </c>
      <c r="N188" s="22">
        <f>IF(A188="","",IF(J188="判定保留","判定保留",IFERROR(INDEX('判定表'!$D:$D,MATCH("S|"&amp;J188,'判定表'!$A:$A,0)),"判定表にない回答")))</f>
        <v/>
      </c>
      <c r="O188" s="22">
        <f>IF(A188="","",IF(N188="留保","—",IF(OR(N188="判定保留",M188="判定保留"),"判定保留",IFERROR(INDEX('判定表'!$D:$D,MATCH("T|"&amp;J188&amp;"|"&amp;M188,'判定表'!$A:$A,0)),"判定表にない組み合わせ"))))</f>
        <v/>
      </c>
    </row>
    <row r="189">
      <c r="A189" s="17" t="n"/>
      <c r="B189" s="17" t="n"/>
      <c r="C189" s="17" t="n"/>
      <c r="D189" s="17" t="n"/>
      <c r="E189" s="17" t="n"/>
      <c r="F189" s="29" t="n"/>
      <c r="G189" s="17" t="n"/>
      <c r="H189" s="17" t="n"/>
      <c r="I189" s="17" t="n"/>
      <c r="J189" s="22">
        <f>IF(A189="","",IF(COUNTA(G189:I189)&lt;3,"判定保留",IFERROR(CHOOSE(MAX(INDEX('判定表'!$D:$D,MATCH("E|利用範囲|"&amp;G189,'判定表'!$A:$A,0)),INDEX('判定表'!$D:$D,MATCH("E|データの利用範囲|"&amp;H189,'判定表'!$A:$A,0)),INDEX('判定表'!$D:$D,MATCH("E|環境|"&amp;I189,'判定表'!$A:$A,0)))+1,"低","中","高"),"判定表にない回答")))</f>
        <v/>
      </c>
      <c r="K189" s="17" t="n"/>
      <c r="L189" s="17" t="n"/>
      <c r="M189" s="22">
        <f>IF(A189="","",IF(OR(K189="",L189="",D189="",E189="",D189="未確認",E189="未確認"),"判定保留",IFERROR(IF(OR(D189="はい",E189="はい"),INDEX('判定表'!$D:$D,MATCH("L|"&amp;INDEX('判定表'!$D:$D,MATCH("D|"&amp;K189&amp;"|"&amp;L189,'判定表'!$A:$A,0)),'判定表'!$A:$A,0)),INDEX('判定表'!$D:$D,MATCH("D|"&amp;K189&amp;"|"&amp;L189,'判定表'!$A:$A,0))),"判定表にない組み合わせ")))</f>
        <v/>
      </c>
      <c r="N189" s="22">
        <f>IF(A189="","",IF(J189="判定保留","判定保留",IFERROR(INDEX('判定表'!$D:$D,MATCH("S|"&amp;J189,'判定表'!$A:$A,0)),"判定表にない回答")))</f>
        <v/>
      </c>
      <c r="O189" s="22">
        <f>IF(A189="","",IF(N189="留保","—",IF(OR(N189="判定保留",M189="判定保留"),"判定保留",IFERROR(INDEX('判定表'!$D:$D,MATCH("T|"&amp;J189&amp;"|"&amp;M189,'判定表'!$A:$A,0)),"判定表にない組み合わせ"))))</f>
        <v/>
      </c>
    </row>
    <row r="190">
      <c r="A190" s="17" t="n"/>
      <c r="B190" s="17" t="n"/>
      <c r="C190" s="17" t="n"/>
      <c r="D190" s="17" t="n"/>
      <c r="E190" s="17" t="n"/>
      <c r="F190" s="29" t="n"/>
      <c r="G190" s="17" t="n"/>
      <c r="H190" s="17" t="n"/>
      <c r="I190" s="17" t="n"/>
      <c r="J190" s="22">
        <f>IF(A190="","",IF(COUNTA(G190:I190)&lt;3,"判定保留",IFERROR(CHOOSE(MAX(INDEX('判定表'!$D:$D,MATCH("E|利用範囲|"&amp;G190,'判定表'!$A:$A,0)),INDEX('判定表'!$D:$D,MATCH("E|データの利用範囲|"&amp;H190,'判定表'!$A:$A,0)),INDEX('判定表'!$D:$D,MATCH("E|環境|"&amp;I190,'判定表'!$A:$A,0)))+1,"低","中","高"),"判定表にない回答")))</f>
        <v/>
      </c>
      <c r="K190" s="17" t="n"/>
      <c r="L190" s="17" t="n"/>
      <c r="M190" s="22">
        <f>IF(A190="","",IF(OR(K190="",L190="",D190="",E190="",D190="未確認",E190="未確認"),"判定保留",IFERROR(IF(OR(D190="はい",E190="はい"),INDEX('判定表'!$D:$D,MATCH("L|"&amp;INDEX('判定表'!$D:$D,MATCH("D|"&amp;K190&amp;"|"&amp;L190,'判定表'!$A:$A,0)),'判定表'!$A:$A,0)),INDEX('判定表'!$D:$D,MATCH("D|"&amp;K190&amp;"|"&amp;L190,'判定表'!$A:$A,0))),"判定表にない組み合わせ")))</f>
        <v/>
      </c>
      <c r="N190" s="22">
        <f>IF(A190="","",IF(J190="判定保留","判定保留",IFERROR(INDEX('判定表'!$D:$D,MATCH("S|"&amp;J190,'判定表'!$A:$A,0)),"判定表にない回答")))</f>
        <v/>
      </c>
      <c r="O190" s="22">
        <f>IF(A190="","",IF(N190="留保","—",IF(OR(N190="判定保留",M190="判定保留"),"判定保留",IFERROR(INDEX('判定表'!$D:$D,MATCH("T|"&amp;J190&amp;"|"&amp;M190,'判定表'!$A:$A,0)),"判定表にない組み合わせ"))))</f>
        <v/>
      </c>
    </row>
    <row r="191">
      <c r="A191" s="17" t="n"/>
      <c r="B191" s="17" t="n"/>
      <c r="C191" s="17" t="n"/>
      <c r="D191" s="17" t="n"/>
      <c r="E191" s="17" t="n"/>
      <c r="F191" s="29" t="n"/>
      <c r="G191" s="17" t="n"/>
      <c r="H191" s="17" t="n"/>
      <c r="I191" s="17" t="n"/>
      <c r="J191" s="22">
        <f>IF(A191="","",IF(COUNTA(G191:I191)&lt;3,"判定保留",IFERROR(CHOOSE(MAX(INDEX('判定表'!$D:$D,MATCH("E|利用範囲|"&amp;G191,'判定表'!$A:$A,0)),INDEX('判定表'!$D:$D,MATCH("E|データの利用範囲|"&amp;H191,'判定表'!$A:$A,0)),INDEX('判定表'!$D:$D,MATCH("E|環境|"&amp;I191,'判定表'!$A:$A,0)))+1,"低","中","高"),"判定表にない回答")))</f>
        <v/>
      </c>
      <c r="K191" s="17" t="n"/>
      <c r="L191" s="17" t="n"/>
      <c r="M191" s="22">
        <f>IF(A191="","",IF(OR(K191="",L191="",D191="",E191="",D191="未確認",E191="未確認"),"判定保留",IFERROR(IF(OR(D191="はい",E191="はい"),INDEX('判定表'!$D:$D,MATCH("L|"&amp;INDEX('判定表'!$D:$D,MATCH("D|"&amp;K191&amp;"|"&amp;L191,'判定表'!$A:$A,0)),'判定表'!$A:$A,0)),INDEX('判定表'!$D:$D,MATCH("D|"&amp;K191&amp;"|"&amp;L191,'判定表'!$A:$A,0))),"判定表にない組み合わせ")))</f>
        <v/>
      </c>
      <c r="N191" s="22">
        <f>IF(A191="","",IF(J191="判定保留","判定保留",IFERROR(INDEX('判定表'!$D:$D,MATCH("S|"&amp;J191,'判定表'!$A:$A,0)),"判定表にない回答")))</f>
        <v/>
      </c>
      <c r="O191" s="22">
        <f>IF(A191="","",IF(N191="留保","—",IF(OR(N191="判定保留",M191="判定保留"),"判定保留",IFERROR(INDEX('判定表'!$D:$D,MATCH("T|"&amp;J191&amp;"|"&amp;M191,'判定表'!$A:$A,0)),"判定表にない組み合わせ"))))</f>
        <v/>
      </c>
    </row>
    <row r="192">
      <c r="A192" s="17" t="n"/>
      <c r="B192" s="17" t="n"/>
      <c r="C192" s="17" t="n"/>
      <c r="D192" s="17" t="n"/>
      <c r="E192" s="17" t="n"/>
      <c r="F192" s="29" t="n"/>
      <c r="G192" s="17" t="n"/>
      <c r="H192" s="17" t="n"/>
      <c r="I192" s="17" t="n"/>
      <c r="J192" s="22">
        <f>IF(A192="","",IF(COUNTA(G192:I192)&lt;3,"判定保留",IFERROR(CHOOSE(MAX(INDEX('判定表'!$D:$D,MATCH("E|利用範囲|"&amp;G192,'判定表'!$A:$A,0)),INDEX('判定表'!$D:$D,MATCH("E|データの利用範囲|"&amp;H192,'判定表'!$A:$A,0)),INDEX('判定表'!$D:$D,MATCH("E|環境|"&amp;I192,'判定表'!$A:$A,0)))+1,"低","中","高"),"判定表にない回答")))</f>
        <v/>
      </c>
      <c r="K192" s="17" t="n"/>
      <c r="L192" s="17" t="n"/>
      <c r="M192" s="22">
        <f>IF(A192="","",IF(OR(K192="",L192="",D192="",E192="",D192="未確認",E192="未確認"),"判定保留",IFERROR(IF(OR(D192="はい",E192="はい"),INDEX('判定表'!$D:$D,MATCH("L|"&amp;INDEX('判定表'!$D:$D,MATCH("D|"&amp;K192&amp;"|"&amp;L192,'判定表'!$A:$A,0)),'判定表'!$A:$A,0)),INDEX('判定表'!$D:$D,MATCH("D|"&amp;K192&amp;"|"&amp;L192,'判定表'!$A:$A,0))),"判定表にない組み合わせ")))</f>
        <v/>
      </c>
      <c r="N192" s="22">
        <f>IF(A192="","",IF(J192="判定保留","判定保留",IFERROR(INDEX('判定表'!$D:$D,MATCH("S|"&amp;J192,'判定表'!$A:$A,0)),"判定表にない回答")))</f>
        <v/>
      </c>
      <c r="O192" s="22">
        <f>IF(A192="","",IF(N192="留保","—",IF(OR(N192="判定保留",M192="判定保留"),"判定保留",IFERROR(INDEX('判定表'!$D:$D,MATCH("T|"&amp;J192&amp;"|"&amp;M192,'判定表'!$A:$A,0)),"判定表にない組み合わせ"))))</f>
        <v/>
      </c>
    </row>
    <row r="193">
      <c r="A193" s="17" t="n"/>
      <c r="B193" s="17" t="n"/>
      <c r="C193" s="17" t="n"/>
      <c r="D193" s="17" t="n"/>
      <c r="E193" s="17" t="n"/>
      <c r="F193" s="29" t="n"/>
      <c r="G193" s="17" t="n"/>
      <c r="H193" s="17" t="n"/>
      <c r="I193" s="17" t="n"/>
      <c r="J193" s="22">
        <f>IF(A193="","",IF(COUNTA(G193:I193)&lt;3,"判定保留",IFERROR(CHOOSE(MAX(INDEX('判定表'!$D:$D,MATCH("E|利用範囲|"&amp;G193,'判定表'!$A:$A,0)),INDEX('判定表'!$D:$D,MATCH("E|データの利用範囲|"&amp;H193,'判定表'!$A:$A,0)),INDEX('判定表'!$D:$D,MATCH("E|環境|"&amp;I193,'判定表'!$A:$A,0)))+1,"低","中","高"),"判定表にない回答")))</f>
        <v/>
      </c>
      <c r="K193" s="17" t="n"/>
      <c r="L193" s="17" t="n"/>
      <c r="M193" s="22">
        <f>IF(A193="","",IF(OR(K193="",L193="",D193="",E193="",D193="未確認",E193="未確認"),"判定保留",IFERROR(IF(OR(D193="はい",E193="はい"),INDEX('判定表'!$D:$D,MATCH("L|"&amp;INDEX('判定表'!$D:$D,MATCH("D|"&amp;K193&amp;"|"&amp;L193,'判定表'!$A:$A,0)),'判定表'!$A:$A,0)),INDEX('判定表'!$D:$D,MATCH("D|"&amp;K193&amp;"|"&amp;L193,'判定表'!$A:$A,0))),"判定表にない組み合わせ")))</f>
        <v/>
      </c>
      <c r="N193" s="22">
        <f>IF(A193="","",IF(J193="判定保留","判定保留",IFERROR(INDEX('判定表'!$D:$D,MATCH("S|"&amp;J193,'判定表'!$A:$A,0)),"判定表にない回答")))</f>
        <v/>
      </c>
      <c r="O193" s="22">
        <f>IF(A193="","",IF(N193="留保","—",IF(OR(N193="判定保留",M193="判定保留"),"判定保留",IFERROR(INDEX('判定表'!$D:$D,MATCH("T|"&amp;J193&amp;"|"&amp;M193,'判定表'!$A:$A,0)),"判定表にない組み合わせ"))))</f>
        <v/>
      </c>
    </row>
    <row r="194">
      <c r="A194" s="17" t="n"/>
      <c r="B194" s="17" t="n"/>
      <c r="C194" s="17" t="n"/>
      <c r="D194" s="17" t="n"/>
      <c r="E194" s="17" t="n"/>
      <c r="F194" s="29" t="n"/>
      <c r="G194" s="17" t="n"/>
      <c r="H194" s="17" t="n"/>
      <c r="I194" s="17" t="n"/>
      <c r="J194" s="22">
        <f>IF(A194="","",IF(COUNTA(G194:I194)&lt;3,"判定保留",IFERROR(CHOOSE(MAX(INDEX('判定表'!$D:$D,MATCH("E|利用範囲|"&amp;G194,'判定表'!$A:$A,0)),INDEX('判定表'!$D:$D,MATCH("E|データの利用範囲|"&amp;H194,'判定表'!$A:$A,0)),INDEX('判定表'!$D:$D,MATCH("E|環境|"&amp;I194,'判定表'!$A:$A,0)))+1,"低","中","高"),"判定表にない回答")))</f>
        <v/>
      </c>
      <c r="K194" s="17" t="n"/>
      <c r="L194" s="17" t="n"/>
      <c r="M194" s="22">
        <f>IF(A194="","",IF(OR(K194="",L194="",D194="",E194="",D194="未確認",E194="未確認"),"判定保留",IFERROR(IF(OR(D194="はい",E194="はい"),INDEX('判定表'!$D:$D,MATCH("L|"&amp;INDEX('判定表'!$D:$D,MATCH("D|"&amp;K194&amp;"|"&amp;L194,'判定表'!$A:$A,0)),'判定表'!$A:$A,0)),INDEX('判定表'!$D:$D,MATCH("D|"&amp;K194&amp;"|"&amp;L194,'判定表'!$A:$A,0))),"判定表にない組み合わせ")))</f>
        <v/>
      </c>
      <c r="N194" s="22">
        <f>IF(A194="","",IF(J194="判定保留","判定保留",IFERROR(INDEX('判定表'!$D:$D,MATCH("S|"&amp;J194,'判定表'!$A:$A,0)),"判定表にない回答")))</f>
        <v/>
      </c>
      <c r="O194" s="22">
        <f>IF(A194="","",IF(N194="留保","—",IF(OR(N194="判定保留",M194="判定保留"),"判定保留",IFERROR(INDEX('判定表'!$D:$D,MATCH("T|"&amp;J194&amp;"|"&amp;M194,'判定表'!$A:$A,0)),"判定表にない組み合わせ"))))</f>
        <v/>
      </c>
    </row>
    <row r="195">
      <c r="A195" s="17" t="n"/>
      <c r="B195" s="17" t="n"/>
      <c r="C195" s="17" t="n"/>
      <c r="D195" s="17" t="n"/>
      <c r="E195" s="17" t="n"/>
      <c r="F195" s="29" t="n"/>
      <c r="G195" s="17" t="n"/>
      <c r="H195" s="17" t="n"/>
      <c r="I195" s="17" t="n"/>
      <c r="J195" s="22">
        <f>IF(A195="","",IF(COUNTA(G195:I195)&lt;3,"判定保留",IFERROR(CHOOSE(MAX(INDEX('判定表'!$D:$D,MATCH("E|利用範囲|"&amp;G195,'判定表'!$A:$A,0)),INDEX('判定表'!$D:$D,MATCH("E|データの利用範囲|"&amp;H195,'判定表'!$A:$A,0)),INDEX('判定表'!$D:$D,MATCH("E|環境|"&amp;I195,'判定表'!$A:$A,0)))+1,"低","中","高"),"判定表にない回答")))</f>
        <v/>
      </c>
      <c r="K195" s="17" t="n"/>
      <c r="L195" s="17" t="n"/>
      <c r="M195" s="22">
        <f>IF(A195="","",IF(OR(K195="",L195="",D195="",E195="",D195="未確認",E195="未確認"),"判定保留",IFERROR(IF(OR(D195="はい",E195="はい"),INDEX('判定表'!$D:$D,MATCH("L|"&amp;INDEX('判定表'!$D:$D,MATCH("D|"&amp;K195&amp;"|"&amp;L195,'判定表'!$A:$A,0)),'判定表'!$A:$A,0)),INDEX('判定表'!$D:$D,MATCH("D|"&amp;K195&amp;"|"&amp;L195,'判定表'!$A:$A,0))),"判定表にない組み合わせ")))</f>
        <v/>
      </c>
      <c r="N195" s="22">
        <f>IF(A195="","",IF(J195="判定保留","判定保留",IFERROR(INDEX('判定表'!$D:$D,MATCH("S|"&amp;J195,'判定表'!$A:$A,0)),"判定表にない回答")))</f>
        <v/>
      </c>
      <c r="O195" s="22">
        <f>IF(A195="","",IF(N195="留保","—",IF(OR(N195="判定保留",M195="判定保留"),"判定保留",IFERROR(INDEX('判定表'!$D:$D,MATCH("T|"&amp;J195&amp;"|"&amp;M195,'判定表'!$A:$A,0)),"判定表にない組み合わせ"))))</f>
        <v/>
      </c>
    </row>
    <row r="196">
      <c r="A196" s="17" t="n"/>
      <c r="B196" s="17" t="n"/>
      <c r="C196" s="17" t="n"/>
      <c r="D196" s="17" t="n"/>
      <c r="E196" s="17" t="n"/>
      <c r="F196" s="29" t="n"/>
      <c r="G196" s="17" t="n"/>
      <c r="H196" s="17" t="n"/>
      <c r="I196" s="17" t="n"/>
      <c r="J196" s="22">
        <f>IF(A196="","",IF(COUNTA(G196:I196)&lt;3,"判定保留",IFERROR(CHOOSE(MAX(INDEX('判定表'!$D:$D,MATCH("E|利用範囲|"&amp;G196,'判定表'!$A:$A,0)),INDEX('判定表'!$D:$D,MATCH("E|データの利用範囲|"&amp;H196,'判定表'!$A:$A,0)),INDEX('判定表'!$D:$D,MATCH("E|環境|"&amp;I196,'判定表'!$A:$A,0)))+1,"低","中","高"),"判定表にない回答")))</f>
        <v/>
      </c>
      <c r="K196" s="17" t="n"/>
      <c r="L196" s="17" t="n"/>
      <c r="M196" s="22">
        <f>IF(A196="","",IF(OR(K196="",L196="",D196="",E196="",D196="未確認",E196="未確認"),"判定保留",IFERROR(IF(OR(D196="はい",E196="はい"),INDEX('判定表'!$D:$D,MATCH("L|"&amp;INDEX('判定表'!$D:$D,MATCH("D|"&amp;K196&amp;"|"&amp;L196,'判定表'!$A:$A,0)),'判定表'!$A:$A,0)),INDEX('判定表'!$D:$D,MATCH("D|"&amp;K196&amp;"|"&amp;L196,'判定表'!$A:$A,0))),"判定表にない組み合わせ")))</f>
        <v/>
      </c>
      <c r="N196" s="22">
        <f>IF(A196="","",IF(J196="判定保留","判定保留",IFERROR(INDEX('判定表'!$D:$D,MATCH("S|"&amp;J196,'判定表'!$A:$A,0)),"判定表にない回答")))</f>
        <v/>
      </c>
      <c r="O196" s="22">
        <f>IF(A196="","",IF(N196="留保","—",IF(OR(N196="判定保留",M196="判定保留"),"判定保留",IFERROR(INDEX('判定表'!$D:$D,MATCH("T|"&amp;J196&amp;"|"&amp;M196,'判定表'!$A:$A,0)),"判定表にない組み合わせ"))))</f>
        <v/>
      </c>
    </row>
    <row r="197">
      <c r="A197" s="17" t="n"/>
      <c r="B197" s="17" t="n"/>
      <c r="C197" s="17" t="n"/>
      <c r="D197" s="17" t="n"/>
      <c r="E197" s="17" t="n"/>
      <c r="F197" s="29" t="n"/>
      <c r="G197" s="17" t="n"/>
      <c r="H197" s="17" t="n"/>
      <c r="I197" s="17" t="n"/>
      <c r="J197" s="22">
        <f>IF(A197="","",IF(COUNTA(G197:I197)&lt;3,"判定保留",IFERROR(CHOOSE(MAX(INDEX('判定表'!$D:$D,MATCH("E|利用範囲|"&amp;G197,'判定表'!$A:$A,0)),INDEX('判定表'!$D:$D,MATCH("E|データの利用範囲|"&amp;H197,'判定表'!$A:$A,0)),INDEX('判定表'!$D:$D,MATCH("E|環境|"&amp;I197,'判定表'!$A:$A,0)))+1,"低","中","高"),"判定表にない回答")))</f>
        <v/>
      </c>
      <c r="K197" s="17" t="n"/>
      <c r="L197" s="17" t="n"/>
      <c r="M197" s="22">
        <f>IF(A197="","",IF(OR(K197="",L197="",D197="",E197="",D197="未確認",E197="未確認"),"判定保留",IFERROR(IF(OR(D197="はい",E197="はい"),INDEX('判定表'!$D:$D,MATCH("L|"&amp;INDEX('判定表'!$D:$D,MATCH("D|"&amp;K197&amp;"|"&amp;L197,'判定表'!$A:$A,0)),'判定表'!$A:$A,0)),INDEX('判定表'!$D:$D,MATCH("D|"&amp;K197&amp;"|"&amp;L197,'判定表'!$A:$A,0))),"判定表にない組み合わせ")))</f>
        <v/>
      </c>
      <c r="N197" s="22">
        <f>IF(A197="","",IF(J197="判定保留","判定保留",IFERROR(INDEX('判定表'!$D:$D,MATCH("S|"&amp;J197,'判定表'!$A:$A,0)),"判定表にない回答")))</f>
        <v/>
      </c>
      <c r="O197" s="22">
        <f>IF(A197="","",IF(N197="留保","—",IF(OR(N197="判定保留",M197="判定保留"),"判定保留",IFERROR(INDEX('判定表'!$D:$D,MATCH("T|"&amp;J197&amp;"|"&amp;M197,'判定表'!$A:$A,0)),"判定表にない組み合わせ"))))</f>
        <v/>
      </c>
    </row>
    <row r="198">
      <c r="A198" s="17" t="n"/>
      <c r="B198" s="17" t="n"/>
      <c r="C198" s="17" t="n"/>
      <c r="D198" s="17" t="n"/>
      <c r="E198" s="17" t="n"/>
      <c r="F198" s="29" t="n"/>
      <c r="G198" s="17" t="n"/>
      <c r="H198" s="17" t="n"/>
      <c r="I198" s="17" t="n"/>
      <c r="J198" s="22">
        <f>IF(A198="","",IF(COUNTA(G198:I198)&lt;3,"判定保留",IFERROR(CHOOSE(MAX(INDEX('判定表'!$D:$D,MATCH("E|利用範囲|"&amp;G198,'判定表'!$A:$A,0)),INDEX('判定表'!$D:$D,MATCH("E|データの利用範囲|"&amp;H198,'判定表'!$A:$A,0)),INDEX('判定表'!$D:$D,MATCH("E|環境|"&amp;I198,'判定表'!$A:$A,0)))+1,"低","中","高"),"判定表にない回答")))</f>
        <v/>
      </c>
      <c r="K198" s="17" t="n"/>
      <c r="L198" s="17" t="n"/>
      <c r="M198" s="22">
        <f>IF(A198="","",IF(OR(K198="",L198="",D198="",E198="",D198="未確認",E198="未確認"),"判定保留",IFERROR(IF(OR(D198="はい",E198="はい"),INDEX('判定表'!$D:$D,MATCH("L|"&amp;INDEX('判定表'!$D:$D,MATCH("D|"&amp;K198&amp;"|"&amp;L198,'判定表'!$A:$A,0)),'判定表'!$A:$A,0)),INDEX('判定表'!$D:$D,MATCH("D|"&amp;K198&amp;"|"&amp;L198,'判定表'!$A:$A,0))),"判定表にない組み合わせ")))</f>
        <v/>
      </c>
      <c r="N198" s="22">
        <f>IF(A198="","",IF(J198="判定保留","判定保留",IFERROR(INDEX('判定表'!$D:$D,MATCH("S|"&amp;J198,'判定表'!$A:$A,0)),"判定表にない回答")))</f>
        <v/>
      </c>
      <c r="O198" s="22">
        <f>IF(A198="","",IF(N198="留保","—",IF(OR(N198="判定保留",M198="判定保留"),"判定保留",IFERROR(INDEX('判定表'!$D:$D,MATCH("T|"&amp;J198&amp;"|"&amp;M198,'判定表'!$A:$A,0)),"判定表にない組み合わせ"))))</f>
        <v/>
      </c>
    </row>
    <row r="199">
      <c r="A199" s="17" t="n"/>
      <c r="B199" s="17" t="n"/>
      <c r="C199" s="17" t="n"/>
      <c r="D199" s="17" t="n"/>
      <c r="E199" s="17" t="n"/>
      <c r="F199" s="29" t="n"/>
      <c r="G199" s="17" t="n"/>
      <c r="H199" s="17" t="n"/>
      <c r="I199" s="17" t="n"/>
      <c r="J199" s="22">
        <f>IF(A199="","",IF(COUNTA(G199:I199)&lt;3,"判定保留",IFERROR(CHOOSE(MAX(INDEX('判定表'!$D:$D,MATCH("E|利用範囲|"&amp;G199,'判定表'!$A:$A,0)),INDEX('判定表'!$D:$D,MATCH("E|データの利用範囲|"&amp;H199,'判定表'!$A:$A,0)),INDEX('判定表'!$D:$D,MATCH("E|環境|"&amp;I199,'判定表'!$A:$A,0)))+1,"低","中","高"),"判定表にない回答")))</f>
        <v/>
      </c>
      <c r="K199" s="17" t="n"/>
      <c r="L199" s="17" t="n"/>
      <c r="M199" s="22">
        <f>IF(A199="","",IF(OR(K199="",L199="",D199="",E199="",D199="未確認",E199="未確認"),"判定保留",IFERROR(IF(OR(D199="はい",E199="はい"),INDEX('判定表'!$D:$D,MATCH("L|"&amp;INDEX('判定表'!$D:$D,MATCH("D|"&amp;K199&amp;"|"&amp;L199,'判定表'!$A:$A,0)),'判定表'!$A:$A,0)),INDEX('判定表'!$D:$D,MATCH("D|"&amp;K199&amp;"|"&amp;L199,'判定表'!$A:$A,0))),"判定表にない組み合わせ")))</f>
        <v/>
      </c>
      <c r="N199" s="22">
        <f>IF(A199="","",IF(J199="判定保留","判定保留",IFERROR(INDEX('判定表'!$D:$D,MATCH("S|"&amp;J199,'判定表'!$A:$A,0)),"判定表にない回答")))</f>
        <v/>
      </c>
      <c r="O199" s="22">
        <f>IF(A199="","",IF(N199="留保","—",IF(OR(N199="判定保留",M199="判定保留"),"判定保留",IFERROR(INDEX('判定表'!$D:$D,MATCH("T|"&amp;J199&amp;"|"&amp;M199,'判定表'!$A:$A,0)),"判定表にない組み合わせ"))))</f>
        <v/>
      </c>
    </row>
    <row r="200">
      <c r="A200" s="17" t="n"/>
      <c r="B200" s="17" t="n"/>
      <c r="C200" s="17" t="n"/>
      <c r="D200" s="17" t="n"/>
      <c r="E200" s="17" t="n"/>
      <c r="F200" s="29" t="n"/>
      <c r="G200" s="17" t="n"/>
      <c r="H200" s="17" t="n"/>
      <c r="I200" s="17" t="n"/>
      <c r="J200" s="22">
        <f>IF(A200="","",IF(COUNTA(G200:I200)&lt;3,"判定保留",IFERROR(CHOOSE(MAX(INDEX('判定表'!$D:$D,MATCH("E|利用範囲|"&amp;G200,'判定表'!$A:$A,0)),INDEX('判定表'!$D:$D,MATCH("E|データの利用範囲|"&amp;H200,'判定表'!$A:$A,0)),INDEX('判定表'!$D:$D,MATCH("E|環境|"&amp;I200,'判定表'!$A:$A,0)))+1,"低","中","高"),"判定表にない回答")))</f>
        <v/>
      </c>
      <c r="K200" s="17" t="n"/>
      <c r="L200" s="17" t="n"/>
      <c r="M200" s="22">
        <f>IF(A200="","",IF(OR(K200="",L200="",D200="",E200="",D200="未確認",E200="未確認"),"判定保留",IFERROR(IF(OR(D200="はい",E200="はい"),INDEX('判定表'!$D:$D,MATCH("L|"&amp;INDEX('判定表'!$D:$D,MATCH("D|"&amp;K200&amp;"|"&amp;L200,'判定表'!$A:$A,0)),'判定表'!$A:$A,0)),INDEX('判定表'!$D:$D,MATCH("D|"&amp;K200&amp;"|"&amp;L200,'判定表'!$A:$A,0))),"判定表にない組み合わせ")))</f>
        <v/>
      </c>
      <c r="N200" s="22">
        <f>IF(A200="","",IF(J200="判定保留","判定保留",IFERROR(INDEX('判定表'!$D:$D,MATCH("S|"&amp;J200,'判定表'!$A:$A,0)),"判定表にない回答")))</f>
        <v/>
      </c>
      <c r="O200" s="22">
        <f>IF(A200="","",IF(N200="留保","—",IF(OR(N200="判定保留",M200="判定保留"),"判定保留",IFERROR(INDEX('判定表'!$D:$D,MATCH("T|"&amp;J200&amp;"|"&amp;M200,'判定表'!$A:$A,0)),"判定表にない組み合わせ"))))</f>
        <v/>
      </c>
    </row>
  </sheetData>
  <dataValidations count="6">
    <dataValidation sqref="D4:E200" showDropDown="0" showInputMessage="0" showErrorMessage="0" allowBlank="1" type="list">
      <formula1>'選択肢'!$E$5:$E$13</formula1>
    </dataValidation>
    <dataValidation sqref="G4:G200" showDropDown="0" showInputMessage="0" showErrorMessage="0" allowBlank="1" type="list">
      <formula1>'選択肢'!$S$5:$S$10</formula1>
    </dataValidation>
    <dataValidation sqref="H4:H200" showDropDown="0" showInputMessage="0" showErrorMessage="0" allowBlank="1" type="list">
      <formula1>'選択肢'!$U$5:$U$10</formula1>
    </dataValidation>
    <dataValidation sqref="I4:I200" showDropDown="0" showInputMessage="0" showErrorMessage="0" allowBlank="1" type="list">
      <formula1>'選択肢'!$W$5:$W$10</formula1>
    </dataValidation>
    <dataValidation sqref="K4:K200" showDropDown="0" showInputMessage="0" showErrorMessage="0" allowBlank="1" type="list">
      <formula1>'選択肢'!$Y$5:$Y$10</formula1>
    </dataValidation>
    <dataValidation sqref="L4:L200" showDropDown="0" showInputMessage="0" showErrorMessage="0" allowBlank="1" type="list">
      <formula1>'選択肢'!$AA$5:$AA$10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22" customWidth="1" min="4" max="4"/>
    <col width="18" customWidth="1" min="5" max="5"/>
    <col width="17" customWidth="1" min="6" max="6"/>
    <col width="10" customWidth="1" min="7" max="7"/>
    <col width="15" customWidth="1" min="8" max="8"/>
    <col width="11" customWidth="1" min="9" max="9"/>
    <col width="10" customWidth="1" min="10" max="10"/>
    <col width="10" customWidth="1" min="11" max="11"/>
    <col width="10" customWidth="1" min="12" max="12"/>
    <col width="12" customWidth="1" min="13" max="13"/>
    <col width="26" customWidth="1" min="14" max="14"/>
    <col width="11" customWidth="1" min="15" max="15"/>
    <col width="14" customWidth="1" min="16" max="16"/>
    <col width="18" customWidth="1" min="17" max="17"/>
  </cols>
  <sheetData>
    <row r="1">
      <c r="A1" s="1" t="inlineStr">
        <is>
          <t>業務（移管の対象と引継ぎ）</t>
        </is>
      </c>
    </row>
    <row r="2">
      <c r="A2" s="4" t="inlineStr">
        <is>
          <t>1行＝1つの業務。システムに関する業務だけを棚卸しする（システムの運用・開発、委託先の管理、契約・予算の管理など）。業務移管判定はシステムの判定を引き継ぎ、困難度は現場の関わり方とGxP対象・個人情報・SOP有無から決まる（「判定表」の5）。契約を管理する業務には関連契約IDを書く。灰色の列は数式。薄い色の行は記入例。</t>
        </is>
      </c>
    </row>
    <row r="3" ht="34" customHeight="1">
      <c r="A3" s="10" t="inlineStr">
        <is>
          <t>業務ID</t>
        </is>
      </c>
      <c r="B3" s="10" t="inlineStr">
        <is>
          <t>業務名</t>
        </is>
      </c>
      <c r="C3" s="10" t="inlineStr">
        <is>
          <t>対象システムID</t>
        </is>
      </c>
      <c r="D3" s="10" t="inlineStr">
        <is>
          <t>システム名（自動）</t>
        </is>
      </c>
      <c r="E3" s="10" t="inlineStr">
        <is>
          <t>業務の種類</t>
        </is>
      </c>
      <c r="F3" s="10" t="inlineStr">
        <is>
          <t>現在の実施者</t>
        </is>
      </c>
      <c r="G3" s="10" t="inlineStr">
        <is>
          <t>頻度</t>
        </is>
      </c>
      <c r="H3" s="10" t="inlineStr">
        <is>
          <t>年間工数（人日）</t>
        </is>
      </c>
      <c r="I3" s="10" t="inlineStr">
        <is>
          <t>棚卸し
（済／未）</t>
        </is>
      </c>
      <c r="J3" s="10" t="inlineStr">
        <is>
          <t>GxP対象</t>
        </is>
      </c>
      <c r="K3" s="10" t="inlineStr">
        <is>
          <t>個人情報</t>
        </is>
      </c>
      <c r="L3" s="10" t="inlineStr">
        <is>
          <t>SOP有無</t>
        </is>
      </c>
      <c r="M3" s="10" t="inlineStr">
        <is>
          <t>関連契約ID</t>
        </is>
      </c>
      <c r="N3" s="10" t="inlineStr">
        <is>
          <t>現場の関わり方</t>
        </is>
      </c>
      <c r="O3" s="10" t="inlineStr">
        <is>
          <t>困難度（自動）</t>
        </is>
      </c>
      <c r="P3" s="10" t="inlineStr">
        <is>
          <t>業務移管判定（自動）</t>
        </is>
      </c>
      <c r="Q3" s="10" t="inlineStr">
        <is>
          <t>移管の方法（自動）</t>
        </is>
      </c>
    </row>
    <row r="4">
      <c r="A4" s="11" t="inlineStr">
        <is>
          <t>OPS-001</t>
        </is>
      </c>
      <c r="B4" s="11" t="inlineStr">
        <is>
          <t>クラウド環境の監視と障害一次対応</t>
        </is>
      </c>
      <c r="C4" s="11" t="inlineStr">
        <is>
          <t>SYS-012</t>
        </is>
      </c>
      <c r="D4" s="16">
        <f>IF(C4="","",IFERROR(INDEX('システム'!$B:$B,MATCH(C4,'システム'!$A:$A,0)),"システムが未登録"))</f>
        <v/>
      </c>
      <c r="E4" s="11" t="inlineStr">
        <is>
          <t>運用・監視</t>
        </is>
      </c>
      <c r="F4" s="11" t="inlineStr">
        <is>
          <t>委託先</t>
        </is>
      </c>
      <c r="G4" s="11" t="inlineStr">
        <is>
          <t>日次</t>
        </is>
      </c>
      <c r="H4" s="42" t="n">
        <v>60</v>
      </c>
      <c r="I4" s="11" t="inlineStr">
        <is>
          <t>済</t>
        </is>
      </c>
      <c r="J4" s="11" t="inlineStr">
        <is>
          <t>いいえ</t>
        </is>
      </c>
      <c r="K4" s="11" t="inlineStr">
        <is>
          <t>いいえ</t>
        </is>
      </c>
      <c r="L4" s="11" t="inlineStr">
        <is>
          <t>有</t>
        </is>
      </c>
      <c r="M4" s="11" t="inlineStr">
        <is>
          <t>CT-2201</t>
        </is>
      </c>
      <c r="N4" s="11" t="inlineStr">
        <is>
          <t>委託先の管理（指示・検収）</t>
        </is>
      </c>
      <c r="O4" s="16">
        <f>IF(A4="","",IF(I4&lt;&gt;"済","判定保留",IF(OR(N4="",J4="",K4="",L4="",J4="未確認",K4="未確認"),"判定保留",IF(AND(J4="はい",L4="無"),"入力エラー（GxP対象でSOP無）",IFERROR(INDEX('判定表'!$D:$D,MATCH("W|"&amp;N4&amp;"|"&amp;IF(OR(J4="はい",K4="はい",L4="無"),"あり","なし"),'判定表'!$A:$A,0)),"判定表にない組み合わせ")))))</f>
        <v/>
      </c>
      <c r="P4" s="16">
        <f>IF(A4="","",IF(C4="","対象外",IF(COUNTIFS('システム'!$A$4:$A$200,C4,'システム'!$N$4:$N$200,"移管")&gt;0,"移管",IF(COUNTIFS('システム'!$A$4:$A$200,C4,'システム'!$N$4:$N$200,"留保")&gt;0,"留保","判定保留"))))</f>
        <v/>
      </c>
      <c r="Q4" s="16">
        <f>IF(A4="","",IF(P4&lt;&gt;"移管","—",IF(N4="","判定保留",IFERROR(INDEX('判定表'!$E:$E,MATCH("W|"&amp;N4&amp;"|なし",'判定表'!$A:$A,0)),"判定表にない回答"))))</f>
        <v/>
      </c>
    </row>
    <row r="5">
      <c r="A5" s="11" t="inlineStr">
        <is>
          <t>OPS-002</t>
        </is>
      </c>
      <c r="B5" s="11" t="inlineStr">
        <is>
          <t>利用者アカウントの登録・削除</t>
        </is>
      </c>
      <c r="C5" s="11" t="inlineStr">
        <is>
          <t>SYS-003</t>
        </is>
      </c>
      <c r="D5" s="16">
        <f>IF(C5="","",IFERROR(INDEX('システム'!$B:$B,MATCH(C5,'システム'!$A:$A,0)),"システムが未登録"))</f>
        <v/>
      </c>
      <c r="E5" s="11" t="inlineStr">
        <is>
          <t>ユーザー管理</t>
        </is>
      </c>
      <c r="F5" s="11" t="inlineStr">
        <is>
          <t>現場部門</t>
        </is>
      </c>
      <c r="G5" s="11" t="inlineStr">
        <is>
          <t>随時</t>
        </is>
      </c>
      <c r="H5" s="42" t="n">
        <v>24</v>
      </c>
      <c r="I5" s="11" t="inlineStr">
        <is>
          <t>済</t>
        </is>
      </c>
      <c r="J5" s="11" t="inlineStr">
        <is>
          <t>はい</t>
        </is>
      </c>
      <c r="K5" s="11" t="inlineStr">
        <is>
          <t>いいえ</t>
        </is>
      </c>
      <c r="L5" s="11" t="inlineStr">
        <is>
          <t>有</t>
        </is>
      </c>
      <c r="M5" s="11" t="n"/>
      <c r="N5" s="11" t="inlineStr">
        <is>
          <t>自ら運用・開発</t>
        </is>
      </c>
      <c r="O5" s="16">
        <f>IF(A5="","",IF(I5&lt;&gt;"済","判定保留",IF(OR(N5="",J5="",K5="",L5="",J5="未確認",K5="未確認"),"判定保留",IF(AND(J5="はい",L5="無"),"入力エラー（GxP対象でSOP無）",IFERROR(INDEX('判定表'!$D:$D,MATCH("W|"&amp;N5&amp;"|"&amp;IF(OR(J5="はい",K5="はい",L5="無"),"あり","なし"),'判定表'!$A:$A,0)),"判定表にない組み合わせ")))))</f>
        <v/>
      </c>
      <c r="P5" s="16">
        <f>IF(A5="","",IF(C5="","対象外",IF(COUNTIFS('システム'!$A$4:$A$200,C5,'システム'!$N$4:$N$200,"移管")&gt;0,"移管",IF(COUNTIFS('システム'!$A$4:$A$200,C5,'システム'!$N$4:$N$200,"留保")&gt;0,"留保","判定保留"))))</f>
        <v/>
      </c>
      <c r="Q5" s="16">
        <f>IF(A5="","",IF(P5&lt;&gt;"移管","—",IF(N5="","判定保留",IFERROR(INDEX('判定表'!$E:$E,MATCH("W|"&amp;N5&amp;"|なし",'判定表'!$A:$A,0)),"判定表にない回答"))))</f>
        <v/>
      </c>
    </row>
    <row r="6">
      <c r="A6" s="11" t="inlineStr">
        <is>
          <t>OPS-003</t>
        </is>
      </c>
      <c r="B6" s="11" t="inlineStr">
        <is>
          <t>委託先の月次報告のレビューと検収</t>
        </is>
      </c>
      <c r="C6" s="11" t="inlineStr">
        <is>
          <t>SYS-012</t>
        </is>
      </c>
      <c r="D6" s="16">
        <f>IF(C6="","",IFERROR(INDEX('システム'!$B:$B,MATCH(C6,'システム'!$A:$A,0)),"システムが未登録"))</f>
        <v/>
      </c>
      <c r="E6" s="11" t="inlineStr">
        <is>
          <t>委託先管理</t>
        </is>
      </c>
      <c r="F6" s="11" t="inlineStr">
        <is>
          <t>現場部門</t>
        </is>
      </c>
      <c r="G6" s="11" t="inlineStr">
        <is>
          <t>月次</t>
        </is>
      </c>
      <c r="H6" s="42" t="n">
        <v>12</v>
      </c>
      <c r="I6" s="11" t="inlineStr">
        <is>
          <t>済</t>
        </is>
      </c>
      <c r="J6" s="11" t="inlineStr">
        <is>
          <t>いいえ</t>
        </is>
      </c>
      <c r="K6" s="11" t="inlineStr">
        <is>
          <t>いいえ</t>
        </is>
      </c>
      <c r="L6" s="11" t="inlineStr">
        <is>
          <t>無</t>
        </is>
      </c>
      <c r="M6" s="11" t="inlineStr">
        <is>
          <t>CT-2201</t>
        </is>
      </c>
      <c r="N6" s="11" t="inlineStr">
        <is>
          <t>委託先の管理（指示・検収）</t>
        </is>
      </c>
      <c r="O6" s="16">
        <f>IF(A6="","",IF(I6&lt;&gt;"済","判定保留",IF(OR(N6="",J6="",K6="",L6="",J6="未確認",K6="未確認"),"判定保留",IF(AND(J6="はい",L6="無"),"入力エラー（GxP対象でSOP無）",IFERROR(INDEX('判定表'!$D:$D,MATCH("W|"&amp;N6&amp;"|"&amp;IF(OR(J6="はい",K6="はい",L6="無"),"あり","なし"),'判定表'!$A:$A,0)),"判定表にない組み合わせ")))))</f>
        <v/>
      </c>
      <c r="P6" s="16">
        <f>IF(A6="","",IF(C6="","対象外",IF(COUNTIFS('システム'!$A$4:$A$200,C6,'システム'!$N$4:$N$200,"移管")&gt;0,"移管",IF(COUNTIFS('システム'!$A$4:$A$200,C6,'システム'!$N$4:$N$200,"留保")&gt;0,"留保","判定保留"))))</f>
        <v/>
      </c>
      <c r="Q6" s="16">
        <f>IF(A6="","",IF(P6&lt;&gt;"移管","—",IF(N6="","判定保留",IFERROR(INDEX('判定表'!$E:$E,MATCH("W|"&amp;N6&amp;"|なし",'判定表'!$A:$A,0)),"判定表にない回答"))))</f>
        <v/>
      </c>
    </row>
    <row r="7">
      <c r="A7" s="11" t="inlineStr">
        <is>
          <t>OPS-004</t>
        </is>
      </c>
      <c r="B7" s="11" t="inlineStr">
        <is>
          <t>eDMS保守契約の発注・検収・支払い</t>
        </is>
      </c>
      <c r="C7" s="11" t="inlineStr">
        <is>
          <t>SYS-003</t>
        </is>
      </c>
      <c r="D7" s="16">
        <f>IF(C7="","",IFERROR(INDEX('システム'!$B:$B,MATCH(C7,'システム'!$A:$A,0)),"システムが未登録"))</f>
        <v/>
      </c>
      <c r="E7" s="11" t="inlineStr">
        <is>
          <t>費用管理</t>
        </is>
      </c>
      <c r="F7" s="11" t="inlineStr">
        <is>
          <t>現場部門</t>
        </is>
      </c>
      <c r="G7" s="11" t="inlineStr">
        <is>
          <t>月次</t>
        </is>
      </c>
      <c r="H7" s="42" t="n">
        <v>6</v>
      </c>
      <c r="I7" s="11" t="inlineStr">
        <is>
          <t>済</t>
        </is>
      </c>
      <c r="J7" s="11" t="inlineStr">
        <is>
          <t>はい</t>
        </is>
      </c>
      <c r="K7" s="11" t="inlineStr">
        <is>
          <t>いいえ</t>
        </is>
      </c>
      <c r="L7" s="11" t="inlineStr">
        <is>
          <t>有</t>
        </is>
      </c>
      <c r="M7" s="11" t="inlineStr">
        <is>
          <t>CT-1187</t>
        </is>
      </c>
      <c r="N7" s="11" t="inlineStr">
        <is>
          <t>予算・契約の管理のみ</t>
        </is>
      </c>
      <c r="O7" s="16">
        <f>IF(A7="","",IF(I7&lt;&gt;"済","判定保留",IF(OR(N7="",J7="",K7="",L7="",J7="未確認",K7="未確認"),"判定保留",IF(AND(J7="はい",L7="無"),"入力エラー（GxP対象でSOP無）",IFERROR(INDEX('判定表'!$D:$D,MATCH("W|"&amp;N7&amp;"|"&amp;IF(OR(J7="はい",K7="はい",L7="無"),"あり","なし"),'判定表'!$A:$A,0)),"判定表にない組み合わせ")))))</f>
        <v/>
      </c>
      <c r="P7" s="16">
        <f>IF(A7="","",IF(C7="","対象外",IF(COUNTIFS('システム'!$A$4:$A$200,C7,'システム'!$N$4:$N$200,"移管")&gt;0,"移管",IF(COUNTIFS('システム'!$A$4:$A$200,C7,'システム'!$N$4:$N$200,"留保")&gt;0,"留保","判定保留"))))</f>
        <v/>
      </c>
      <c r="Q7" s="16">
        <f>IF(A7="","",IF(P7&lt;&gt;"移管","—",IF(N7="","判定保留",IFERROR(INDEX('判定表'!$E:$E,MATCH("W|"&amp;N7&amp;"|なし",'判定表'!$A:$A,0)),"判定表にない回答"))))</f>
        <v/>
      </c>
    </row>
    <row r="8">
      <c r="A8" s="17" t="n"/>
      <c r="B8" s="17" t="n"/>
      <c r="C8" s="17" t="n"/>
      <c r="D8" s="22">
        <f>IF(C8="","",IFERROR(INDEX('システム'!$B:$B,MATCH(C8,'システム'!$A:$A,0)),"システムが未登録"))</f>
        <v/>
      </c>
      <c r="E8" s="17" t="n"/>
      <c r="F8" s="17" t="n"/>
      <c r="G8" s="17" t="n"/>
      <c r="H8" s="43" t="n"/>
      <c r="I8" s="17" t="n"/>
      <c r="J8" s="17" t="n"/>
      <c r="K8" s="17" t="n"/>
      <c r="L8" s="17" t="n"/>
      <c r="M8" s="17" t="n"/>
      <c r="N8" s="17" t="n"/>
      <c r="O8" s="22">
        <f>IF(A8="","",IF(I8&lt;&gt;"済","判定保留",IF(OR(N8="",J8="",K8="",L8="",J8="未確認",K8="未確認"),"判定保留",IF(AND(J8="はい",L8="無"),"入力エラー（GxP対象でSOP無）",IFERROR(INDEX('判定表'!$D:$D,MATCH("W|"&amp;N8&amp;"|"&amp;IF(OR(J8="はい",K8="はい",L8="無"),"あり","なし"),'判定表'!$A:$A,0)),"判定表にない組み合わせ")))))</f>
        <v/>
      </c>
      <c r="P8" s="22">
        <f>IF(A8="","",IF(C8="","対象外",IF(COUNTIFS('システム'!$A$4:$A$200,C8,'システム'!$N$4:$N$200,"移管")&gt;0,"移管",IF(COUNTIFS('システム'!$A$4:$A$200,C8,'システム'!$N$4:$N$200,"留保")&gt;0,"留保","判定保留"))))</f>
        <v/>
      </c>
      <c r="Q8" s="22">
        <f>IF(A8="","",IF(P8&lt;&gt;"移管","—",IF(N8="","判定保留",IFERROR(INDEX('判定表'!$E:$E,MATCH("W|"&amp;N8&amp;"|なし",'判定表'!$A:$A,0)),"判定表にない回答"))))</f>
        <v/>
      </c>
    </row>
    <row r="9">
      <c r="A9" s="17" t="n"/>
      <c r="B9" s="17" t="n"/>
      <c r="C9" s="17" t="n"/>
      <c r="D9" s="22">
        <f>IF(C9="","",IFERROR(INDEX('システム'!$B:$B,MATCH(C9,'システム'!$A:$A,0)),"システムが未登録"))</f>
        <v/>
      </c>
      <c r="E9" s="17" t="n"/>
      <c r="F9" s="17" t="n"/>
      <c r="G9" s="17" t="n"/>
      <c r="H9" s="43" t="n"/>
      <c r="I9" s="17" t="n"/>
      <c r="J9" s="17" t="n"/>
      <c r="K9" s="17" t="n"/>
      <c r="L9" s="17" t="n"/>
      <c r="M9" s="17" t="n"/>
      <c r="N9" s="17" t="n"/>
      <c r="O9" s="22">
        <f>IF(A9="","",IF(I9&lt;&gt;"済","判定保留",IF(OR(N9="",J9="",K9="",L9="",J9="未確認",K9="未確認"),"判定保留",IF(AND(J9="はい",L9="無"),"入力エラー（GxP対象でSOP無）",IFERROR(INDEX('判定表'!$D:$D,MATCH("W|"&amp;N9&amp;"|"&amp;IF(OR(J9="はい",K9="はい",L9="無"),"あり","なし"),'判定表'!$A:$A,0)),"判定表にない組み合わせ")))))</f>
        <v/>
      </c>
      <c r="P9" s="22">
        <f>IF(A9="","",IF(C9="","対象外",IF(COUNTIFS('システム'!$A$4:$A$200,C9,'システム'!$N$4:$N$200,"移管")&gt;0,"移管",IF(COUNTIFS('システム'!$A$4:$A$200,C9,'システム'!$N$4:$N$200,"留保")&gt;0,"留保","判定保留"))))</f>
        <v/>
      </c>
      <c r="Q9" s="22">
        <f>IF(A9="","",IF(P9&lt;&gt;"移管","—",IF(N9="","判定保留",IFERROR(INDEX('判定表'!$E:$E,MATCH("W|"&amp;N9&amp;"|なし",'判定表'!$A:$A,0)),"判定表にない回答"))))</f>
        <v/>
      </c>
    </row>
    <row r="10">
      <c r="A10" s="17" t="n"/>
      <c r="B10" s="17" t="n"/>
      <c r="C10" s="17" t="n"/>
      <c r="D10" s="22">
        <f>IF(C10="","",IFERROR(INDEX('システム'!$B:$B,MATCH(C10,'システム'!$A:$A,0)),"システムが未登録"))</f>
        <v/>
      </c>
      <c r="E10" s="17" t="n"/>
      <c r="F10" s="17" t="n"/>
      <c r="G10" s="17" t="n"/>
      <c r="H10" s="43" t="n"/>
      <c r="I10" s="17" t="n"/>
      <c r="J10" s="17" t="n"/>
      <c r="K10" s="17" t="n"/>
      <c r="L10" s="17" t="n"/>
      <c r="M10" s="17" t="n"/>
      <c r="N10" s="17" t="n"/>
      <c r="O10" s="22">
        <f>IF(A10="","",IF(I10&lt;&gt;"済","判定保留",IF(OR(N10="",J10="",K10="",L10="",J10="未確認",K10="未確認"),"判定保留",IF(AND(J10="はい",L10="無"),"入力エラー（GxP対象でSOP無）",IFERROR(INDEX('判定表'!$D:$D,MATCH("W|"&amp;N10&amp;"|"&amp;IF(OR(J10="はい",K10="はい",L10="無"),"あり","なし"),'判定表'!$A:$A,0)),"判定表にない組み合わせ")))))</f>
        <v/>
      </c>
      <c r="P10" s="22">
        <f>IF(A10="","",IF(C10="","対象外",IF(COUNTIFS('システム'!$A$4:$A$200,C10,'システム'!$N$4:$N$200,"移管")&gt;0,"移管",IF(COUNTIFS('システム'!$A$4:$A$200,C10,'システム'!$N$4:$N$200,"留保")&gt;0,"留保","判定保留"))))</f>
        <v/>
      </c>
      <c r="Q10" s="22">
        <f>IF(A10="","",IF(P10&lt;&gt;"移管","—",IF(N10="","判定保留",IFERROR(INDEX('判定表'!$E:$E,MATCH("W|"&amp;N10&amp;"|なし",'判定表'!$A:$A,0)),"判定表にない回答"))))</f>
        <v/>
      </c>
    </row>
    <row r="11">
      <c r="A11" s="17" t="n"/>
      <c r="B11" s="17" t="n"/>
      <c r="C11" s="17" t="n"/>
      <c r="D11" s="22">
        <f>IF(C11="","",IFERROR(INDEX('システム'!$B:$B,MATCH(C11,'システム'!$A:$A,0)),"システムが未登録"))</f>
        <v/>
      </c>
      <c r="E11" s="17" t="n"/>
      <c r="F11" s="17" t="n"/>
      <c r="G11" s="17" t="n"/>
      <c r="H11" s="43" t="n"/>
      <c r="I11" s="17" t="n"/>
      <c r="J11" s="17" t="n"/>
      <c r="K11" s="17" t="n"/>
      <c r="L11" s="17" t="n"/>
      <c r="M11" s="17" t="n"/>
      <c r="N11" s="17" t="n"/>
      <c r="O11" s="22">
        <f>IF(A11="","",IF(I11&lt;&gt;"済","判定保留",IF(OR(N11="",J11="",K11="",L11="",J11="未確認",K11="未確認"),"判定保留",IF(AND(J11="はい",L11="無"),"入力エラー（GxP対象でSOP無）",IFERROR(INDEX('判定表'!$D:$D,MATCH("W|"&amp;N11&amp;"|"&amp;IF(OR(J11="はい",K11="はい",L11="無"),"あり","なし"),'判定表'!$A:$A,0)),"判定表にない組み合わせ")))))</f>
        <v/>
      </c>
      <c r="P11" s="22">
        <f>IF(A11="","",IF(C11="","対象外",IF(COUNTIFS('システム'!$A$4:$A$200,C11,'システム'!$N$4:$N$200,"移管")&gt;0,"移管",IF(COUNTIFS('システム'!$A$4:$A$200,C11,'システム'!$N$4:$N$200,"留保")&gt;0,"留保","判定保留"))))</f>
        <v/>
      </c>
      <c r="Q11" s="22">
        <f>IF(A11="","",IF(P11&lt;&gt;"移管","—",IF(N11="","判定保留",IFERROR(INDEX('判定表'!$E:$E,MATCH("W|"&amp;N11&amp;"|なし",'判定表'!$A:$A,0)),"判定表にない回答"))))</f>
        <v/>
      </c>
    </row>
    <row r="12">
      <c r="A12" s="17" t="n"/>
      <c r="B12" s="17" t="n"/>
      <c r="C12" s="17" t="n"/>
      <c r="D12" s="22">
        <f>IF(C12="","",IFERROR(INDEX('システム'!$B:$B,MATCH(C12,'システム'!$A:$A,0)),"システムが未登録"))</f>
        <v/>
      </c>
      <c r="E12" s="17" t="n"/>
      <c r="F12" s="17" t="n"/>
      <c r="G12" s="17" t="n"/>
      <c r="H12" s="43" t="n"/>
      <c r="I12" s="17" t="n"/>
      <c r="J12" s="17" t="n"/>
      <c r="K12" s="17" t="n"/>
      <c r="L12" s="17" t="n"/>
      <c r="M12" s="17" t="n"/>
      <c r="N12" s="17" t="n"/>
      <c r="O12" s="22">
        <f>IF(A12="","",IF(I12&lt;&gt;"済","判定保留",IF(OR(N12="",J12="",K12="",L12="",J12="未確認",K12="未確認"),"判定保留",IF(AND(J12="はい",L12="無"),"入力エラー（GxP対象でSOP無）",IFERROR(INDEX('判定表'!$D:$D,MATCH("W|"&amp;N12&amp;"|"&amp;IF(OR(J12="はい",K12="はい",L12="無"),"あり","なし"),'判定表'!$A:$A,0)),"判定表にない組み合わせ")))))</f>
        <v/>
      </c>
      <c r="P12" s="22">
        <f>IF(A12="","",IF(C12="","対象外",IF(COUNTIFS('システム'!$A$4:$A$200,C12,'システム'!$N$4:$N$200,"移管")&gt;0,"移管",IF(COUNTIFS('システム'!$A$4:$A$200,C12,'システム'!$N$4:$N$200,"留保")&gt;0,"留保","判定保留"))))</f>
        <v/>
      </c>
      <c r="Q12" s="22">
        <f>IF(A12="","",IF(P12&lt;&gt;"移管","—",IF(N12="","判定保留",IFERROR(INDEX('判定表'!$E:$E,MATCH("W|"&amp;N12&amp;"|なし",'判定表'!$A:$A,0)),"判定表にない回答"))))</f>
        <v/>
      </c>
    </row>
    <row r="13">
      <c r="A13" s="17" t="n"/>
      <c r="B13" s="17" t="n"/>
      <c r="C13" s="17" t="n"/>
      <c r="D13" s="22">
        <f>IF(C13="","",IFERROR(INDEX('システム'!$B:$B,MATCH(C13,'システム'!$A:$A,0)),"システムが未登録"))</f>
        <v/>
      </c>
      <c r="E13" s="17" t="n"/>
      <c r="F13" s="17" t="n"/>
      <c r="G13" s="17" t="n"/>
      <c r="H13" s="43" t="n"/>
      <c r="I13" s="17" t="n"/>
      <c r="J13" s="17" t="n"/>
      <c r="K13" s="17" t="n"/>
      <c r="L13" s="17" t="n"/>
      <c r="M13" s="17" t="n"/>
      <c r="N13" s="17" t="n"/>
      <c r="O13" s="22">
        <f>IF(A13="","",IF(I13&lt;&gt;"済","判定保留",IF(OR(N13="",J13="",K13="",L13="",J13="未確認",K13="未確認"),"判定保留",IF(AND(J13="はい",L13="無"),"入力エラー（GxP対象でSOP無）",IFERROR(INDEX('判定表'!$D:$D,MATCH("W|"&amp;N13&amp;"|"&amp;IF(OR(J13="はい",K13="はい",L13="無"),"あり","なし"),'判定表'!$A:$A,0)),"判定表にない組み合わせ")))))</f>
        <v/>
      </c>
      <c r="P13" s="22">
        <f>IF(A13="","",IF(C13="","対象外",IF(COUNTIFS('システム'!$A$4:$A$200,C13,'システム'!$N$4:$N$200,"移管")&gt;0,"移管",IF(COUNTIFS('システム'!$A$4:$A$200,C13,'システム'!$N$4:$N$200,"留保")&gt;0,"留保","判定保留"))))</f>
        <v/>
      </c>
      <c r="Q13" s="22">
        <f>IF(A13="","",IF(P13&lt;&gt;"移管","—",IF(N13="","判定保留",IFERROR(INDEX('判定表'!$E:$E,MATCH("W|"&amp;N13&amp;"|なし",'判定表'!$A:$A,0)),"判定表にない回答"))))</f>
        <v/>
      </c>
    </row>
    <row r="14">
      <c r="A14" s="17" t="n"/>
      <c r="B14" s="17" t="n"/>
      <c r="C14" s="17" t="n"/>
      <c r="D14" s="22">
        <f>IF(C14="","",IFERROR(INDEX('システム'!$B:$B,MATCH(C14,'システム'!$A:$A,0)),"システムが未登録"))</f>
        <v/>
      </c>
      <c r="E14" s="17" t="n"/>
      <c r="F14" s="17" t="n"/>
      <c r="G14" s="17" t="n"/>
      <c r="H14" s="43" t="n"/>
      <c r="I14" s="17" t="n"/>
      <c r="J14" s="17" t="n"/>
      <c r="K14" s="17" t="n"/>
      <c r="L14" s="17" t="n"/>
      <c r="M14" s="17" t="n"/>
      <c r="N14" s="17" t="n"/>
      <c r="O14" s="22">
        <f>IF(A14="","",IF(I14&lt;&gt;"済","判定保留",IF(OR(N14="",J14="",K14="",L14="",J14="未確認",K14="未確認"),"判定保留",IF(AND(J14="はい",L14="無"),"入力エラー（GxP対象でSOP無）",IFERROR(INDEX('判定表'!$D:$D,MATCH("W|"&amp;N14&amp;"|"&amp;IF(OR(J14="はい",K14="はい",L14="無"),"あり","なし"),'判定表'!$A:$A,0)),"判定表にない組み合わせ")))))</f>
        <v/>
      </c>
      <c r="P14" s="22">
        <f>IF(A14="","",IF(C14="","対象外",IF(COUNTIFS('システム'!$A$4:$A$200,C14,'システム'!$N$4:$N$200,"移管")&gt;0,"移管",IF(COUNTIFS('システム'!$A$4:$A$200,C14,'システム'!$N$4:$N$200,"留保")&gt;0,"留保","判定保留"))))</f>
        <v/>
      </c>
      <c r="Q14" s="22">
        <f>IF(A14="","",IF(P14&lt;&gt;"移管","—",IF(N14="","判定保留",IFERROR(INDEX('判定表'!$E:$E,MATCH("W|"&amp;N14&amp;"|なし",'判定表'!$A:$A,0)),"判定表にない回答"))))</f>
        <v/>
      </c>
    </row>
    <row r="15">
      <c r="A15" s="17" t="n"/>
      <c r="B15" s="17" t="n"/>
      <c r="C15" s="17" t="n"/>
      <c r="D15" s="22">
        <f>IF(C15="","",IFERROR(INDEX('システム'!$B:$B,MATCH(C15,'システム'!$A:$A,0)),"システムが未登録"))</f>
        <v/>
      </c>
      <c r="E15" s="17" t="n"/>
      <c r="F15" s="17" t="n"/>
      <c r="G15" s="17" t="n"/>
      <c r="H15" s="43" t="n"/>
      <c r="I15" s="17" t="n"/>
      <c r="J15" s="17" t="n"/>
      <c r="K15" s="17" t="n"/>
      <c r="L15" s="17" t="n"/>
      <c r="M15" s="17" t="n"/>
      <c r="N15" s="17" t="n"/>
      <c r="O15" s="22">
        <f>IF(A15="","",IF(I15&lt;&gt;"済","判定保留",IF(OR(N15="",J15="",K15="",L15="",J15="未確認",K15="未確認"),"判定保留",IF(AND(J15="はい",L15="無"),"入力エラー（GxP対象でSOP無）",IFERROR(INDEX('判定表'!$D:$D,MATCH("W|"&amp;N15&amp;"|"&amp;IF(OR(J15="はい",K15="はい",L15="無"),"あり","なし"),'判定表'!$A:$A,0)),"判定表にない組み合わせ")))))</f>
        <v/>
      </c>
      <c r="P15" s="22">
        <f>IF(A15="","",IF(C15="","対象外",IF(COUNTIFS('システム'!$A$4:$A$200,C15,'システム'!$N$4:$N$200,"移管")&gt;0,"移管",IF(COUNTIFS('システム'!$A$4:$A$200,C15,'システム'!$N$4:$N$200,"留保")&gt;0,"留保","判定保留"))))</f>
        <v/>
      </c>
      <c r="Q15" s="22">
        <f>IF(A15="","",IF(P15&lt;&gt;"移管","—",IF(N15="","判定保留",IFERROR(INDEX('判定表'!$E:$E,MATCH("W|"&amp;N15&amp;"|なし",'判定表'!$A:$A,0)),"判定表にない回答"))))</f>
        <v/>
      </c>
    </row>
    <row r="16">
      <c r="A16" s="17" t="n"/>
      <c r="B16" s="17" t="n"/>
      <c r="C16" s="17" t="n"/>
      <c r="D16" s="22">
        <f>IF(C16="","",IFERROR(INDEX('システム'!$B:$B,MATCH(C16,'システム'!$A:$A,0)),"システムが未登録"))</f>
        <v/>
      </c>
      <c r="E16" s="17" t="n"/>
      <c r="F16" s="17" t="n"/>
      <c r="G16" s="17" t="n"/>
      <c r="H16" s="43" t="n"/>
      <c r="I16" s="17" t="n"/>
      <c r="J16" s="17" t="n"/>
      <c r="K16" s="17" t="n"/>
      <c r="L16" s="17" t="n"/>
      <c r="M16" s="17" t="n"/>
      <c r="N16" s="17" t="n"/>
      <c r="O16" s="22">
        <f>IF(A16="","",IF(I16&lt;&gt;"済","判定保留",IF(OR(N16="",J16="",K16="",L16="",J16="未確認",K16="未確認"),"判定保留",IF(AND(J16="はい",L16="無"),"入力エラー（GxP対象でSOP無）",IFERROR(INDEX('判定表'!$D:$D,MATCH("W|"&amp;N16&amp;"|"&amp;IF(OR(J16="はい",K16="はい",L16="無"),"あり","なし"),'判定表'!$A:$A,0)),"判定表にない組み合わせ")))))</f>
        <v/>
      </c>
      <c r="P16" s="22">
        <f>IF(A16="","",IF(C16="","対象外",IF(COUNTIFS('システム'!$A$4:$A$200,C16,'システム'!$N$4:$N$200,"移管")&gt;0,"移管",IF(COUNTIFS('システム'!$A$4:$A$200,C16,'システム'!$N$4:$N$200,"留保")&gt;0,"留保","判定保留"))))</f>
        <v/>
      </c>
      <c r="Q16" s="22">
        <f>IF(A16="","",IF(P16&lt;&gt;"移管","—",IF(N16="","判定保留",IFERROR(INDEX('判定表'!$E:$E,MATCH("W|"&amp;N16&amp;"|なし",'判定表'!$A:$A,0)),"判定表にない回答"))))</f>
        <v/>
      </c>
    </row>
    <row r="17">
      <c r="A17" s="17" t="n"/>
      <c r="B17" s="17" t="n"/>
      <c r="C17" s="17" t="n"/>
      <c r="D17" s="22">
        <f>IF(C17="","",IFERROR(INDEX('システム'!$B:$B,MATCH(C17,'システム'!$A:$A,0)),"システムが未登録"))</f>
        <v/>
      </c>
      <c r="E17" s="17" t="n"/>
      <c r="F17" s="17" t="n"/>
      <c r="G17" s="17" t="n"/>
      <c r="H17" s="43" t="n"/>
      <c r="I17" s="17" t="n"/>
      <c r="J17" s="17" t="n"/>
      <c r="K17" s="17" t="n"/>
      <c r="L17" s="17" t="n"/>
      <c r="M17" s="17" t="n"/>
      <c r="N17" s="17" t="n"/>
      <c r="O17" s="22">
        <f>IF(A17="","",IF(I17&lt;&gt;"済","判定保留",IF(OR(N17="",J17="",K17="",L17="",J17="未確認",K17="未確認"),"判定保留",IF(AND(J17="はい",L17="無"),"入力エラー（GxP対象でSOP無）",IFERROR(INDEX('判定表'!$D:$D,MATCH("W|"&amp;N17&amp;"|"&amp;IF(OR(J17="はい",K17="はい",L17="無"),"あり","なし"),'判定表'!$A:$A,0)),"判定表にない組み合わせ")))))</f>
        <v/>
      </c>
      <c r="P17" s="22">
        <f>IF(A17="","",IF(C17="","対象外",IF(COUNTIFS('システム'!$A$4:$A$200,C17,'システム'!$N$4:$N$200,"移管")&gt;0,"移管",IF(COUNTIFS('システム'!$A$4:$A$200,C17,'システム'!$N$4:$N$200,"留保")&gt;0,"留保","判定保留"))))</f>
        <v/>
      </c>
      <c r="Q17" s="22">
        <f>IF(A17="","",IF(P17&lt;&gt;"移管","—",IF(N17="","判定保留",IFERROR(INDEX('判定表'!$E:$E,MATCH("W|"&amp;N17&amp;"|なし",'判定表'!$A:$A,0)),"判定表にない回答"))))</f>
        <v/>
      </c>
    </row>
    <row r="18">
      <c r="A18" s="17" t="n"/>
      <c r="B18" s="17" t="n"/>
      <c r="C18" s="17" t="n"/>
      <c r="D18" s="22">
        <f>IF(C18="","",IFERROR(INDEX('システム'!$B:$B,MATCH(C18,'システム'!$A:$A,0)),"システムが未登録"))</f>
        <v/>
      </c>
      <c r="E18" s="17" t="n"/>
      <c r="F18" s="17" t="n"/>
      <c r="G18" s="17" t="n"/>
      <c r="H18" s="43" t="n"/>
      <c r="I18" s="17" t="n"/>
      <c r="J18" s="17" t="n"/>
      <c r="K18" s="17" t="n"/>
      <c r="L18" s="17" t="n"/>
      <c r="M18" s="17" t="n"/>
      <c r="N18" s="17" t="n"/>
      <c r="O18" s="22">
        <f>IF(A18="","",IF(I18&lt;&gt;"済","判定保留",IF(OR(N18="",J18="",K18="",L18="",J18="未確認",K18="未確認"),"判定保留",IF(AND(J18="はい",L18="無"),"入力エラー（GxP対象でSOP無）",IFERROR(INDEX('判定表'!$D:$D,MATCH("W|"&amp;N18&amp;"|"&amp;IF(OR(J18="はい",K18="はい",L18="無"),"あり","なし"),'判定表'!$A:$A,0)),"判定表にない組み合わせ")))))</f>
        <v/>
      </c>
      <c r="P18" s="22">
        <f>IF(A18="","",IF(C18="","対象外",IF(COUNTIFS('システム'!$A$4:$A$200,C18,'システム'!$N$4:$N$200,"移管")&gt;0,"移管",IF(COUNTIFS('システム'!$A$4:$A$200,C18,'システム'!$N$4:$N$200,"留保")&gt;0,"留保","判定保留"))))</f>
        <v/>
      </c>
      <c r="Q18" s="22">
        <f>IF(A18="","",IF(P18&lt;&gt;"移管","—",IF(N18="","判定保留",IFERROR(INDEX('判定表'!$E:$E,MATCH("W|"&amp;N18&amp;"|なし",'判定表'!$A:$A,0)),"判定表にない回答"))))</f>
        <v/>
      </c>
    </row>
    <row r="19">
      <c r="A19" s="17" t="n"/>
      <c r="B19" s="17" t="n"/>
      <c r="C19" s="17" t="n"/>
      <c r="D19" s="22">
        <f>IF(C19="","",IFERROR(INDEX('システム'!$B:$B,MATCH(C19,'システム'!$A:$A,0)),"システムが未登録"))</f>
        <v/>
      </c>
      <c r="E19" s="17" t="n"/>
      <c r="F19" s="17" t="n"/>
      <c r="G19" s="17" t="n"/>
      <c r="H19" s="43" t="n"/>
      <c r="I19" s="17" t="n"/>
      <c r="J19" s="17" t="n"/>
      <c r="K19" s="17" t="n"/>
      <c r="L19" s="17" t="n"/>
      <c r="M19" s="17" t="n"/>
      <c r="N19" s="17" t="n"/>
      <c r="O19" s="22">
        <f>IF(A19="","",IF(I19&lt;&gt;"済","判定保留",IF(OR(N19="",J19="",K19="",L19="",J19="未確認",K19="未確認"),"判定保留",IF(AND(J19="はい",L19="無"),"入力エラー（GxP対象でSOP無）",IFERROR(INDEX('判定表'!$D:$D,MATCH("W|"&amp;N19&amp;"|"&amp;IF(OR(J19="はい",K19="はい",L19="無"),"あり","なし"),'判定表'!$A:$A,0)),"判定表にない組み合わせ")))))</f>
        <v/>
      </c>
      <c r="P19" s="22">
        <f>IF(A19="","",IF(C19="","対象外",IF(COUNTIFS('システム'!$A$4:$A$200,C19,'システム'!$N$4:$N$200,"移管")&gt;0,"移管",IF(COUNTIFS('システム'!$A$4:$A$200,C19,'システム'!$N$4:$N$200,"留保")&gt;0,"留保","判定保留"))))</f>
        <v/>
      </c>
      <c r="Q19" s="22">
        <f>IF(A19="","",IF(P19&lt;&gt;"移管","—",IF(N19="","判定保留",IFERROR(INDEX('判定表'!$E:$E,MATCH("W|"&amp;N19&amp;"|なし",'判定表'!$A:$A,0)),"判定表にない回答"))))</f>
        <v/>
      </c>
    </row>
    <row r="20">
      <c r="A20" s="17" t="n"/>
      <c r="B20" s="17" t="n"/>
      <c r="C20" s="17" t="n"/>
      <c r="D20" s="22">
        <f>IF(C20="","",IFERROR(INDEX('システム'!$B:$B,MATCH(C20,'システム'!$A:$A,0)),"システムが未登録"))</f>
        <v/>
      </c>
      <c r="E20" s="17" t="n"/>
      <c r="F20" s="17" t="n"/>
      <c r="G20" s="17" t="n"/>
      <c r="H20" s="43" t="n"/>
      <c r="I20" s="17" t="n"/>
      <c r="J20" s="17" t="n"/>
      <c r="K20" s="17" t="n"/>
      <c r="L20" s="17" t="n"/>
      <c r="M20" s="17" t="n"/>
      <c r="N20" s="17" t="n"/>
      <c r="O20" s="22">
        <f>IF(A20="","",IF(I20&lt;&gt;"済","判定保留",IF(OR(N20="",J20="",K20="",L20="",J20="未確認",K20="未確認"),"判定保留",IF(AND(J20="はい",L20="無"),"入力エラー（GxP対象でSOP無）",IFERROR(INDEX('判定表'!$D:$D,MATCH("W|"&amp;N20&amp;"|"&amp;IF(OR(J20="はい",K20="はい",L20="無"),"あり","なし"),'判定表'!$A:$A,0)),"判定表にない組み合わせ")))))</f>
        <v/>
      </c>
      <c r="P20" s="22">
        <f>IF(A20="","",IF(C20="","対象外",IF(COUNTIFS('システム'!$A$4:$A$200,C20,'システム'!$N$4:$N$200,"移管")&gt;0,"移管",IF(COUNTIFS('システム'!$A$4:$A$200,C20,'システム'!$N$4:$N$200,"留保")&gt;0,"留保","判定保留"))))</f>
        <v/>
      </c>
      <c r="Q20" s="22">
        <f>IF(A20="","",IF(P20&lt;&gt;"移管","—",IF(N20="","判定保留",IFERROR(INDEX('判定表'!$E:$E,MATCH("W|"&amp;N20&amp;"|なし",'判定表'!$A:$A,0)),"判定表にない回答"))))</f>
        <v/>
      </c>
    </row>
    <row r="21">
      <c r="A21" s="17" t="n"/>
      <c r="B21" s="17" t="n"/>
      <c r="C21" s="17" t="n"/>
      <c r="D21" s="22">
        <f>IF(C21="","",IFERROR(INDEX('システム'!$B:$B,MATCH(C21,'システム'!$A:$A,0)),"システムが未登録"))</f>
        <v/>
      </c>
      <c r="E21" s="17" t="n"/>
      <c r="F21" s="17" t="n"/>
      <c r="G21" s="17" t="n"/>
      <c r="H21" s="43" t="n"/>
      <c r="I21" s="17" t="n"/>
      <c r="J21" s="17" t="n"/>
      <c r="K21" s="17" t="n"/>
      <c r="L21" s="17" t="n"/>
      <c r="M21" s="17" t="n"/>
      <c r="N21" s="17" t="n"/>
      <c r="O21" s="22">
        <f>IF(A21="","",IF(I21&lt;&gt;"済","判定保留",IF(OR(N21="",J21="",K21="",L21="",J21="未確認",K21="未確認"),"判定保留",IF(AND(J21="はい",L21="無"),"入力エラー（GxP対象でSOP無）",IFERROR(INDEX('判定表'!$D:$D,MATCH("W|"&amp;N21&amp;"|"&amp;IF(OR(J21="はい",K21="はい",L21="無"),"あり","なし"),'判定表'!$A:$A,0)),"判定表にない組み合わせ")))))</f>
        <v/>
      </c>
      <c r="P21" s="22">
        <f>IF(A21="","",IF(C21="","対象外",IF(COUNTIFS('システム'!$A$4:$A$200,C21,'システム'!$N$4:$N$200,"移管")&gt;0,"移管",IF(COUNTIFS('システム'!$A$4:$A$200,C21,'システム'!$N$4:$N$200,"留保")&gt;0,"留保","判定保留"))))</f>
        <v/>
      </c>
      <c r="Q21" s="22">
        <f>IF(A21="","",IF(P21&lt;&gt;"移管","—",IF(N21="","判定保留",IFERROR(INDEX('判定表'!$E:$E,MATCH("W|"&amp;N21&amp;"|なし",'判定表'!$A:$A,0)),"判定表にない回答"))))</f>
        <v/>
      </c>
    </row>
    <row r="22">
      <c r="A22" s="17" t="n"/>
      <c r="B22" s="17" t="n"/>
      <c r="C22" s="17" t="n"/>
      <c r="D22" s="22">
        <f>IF(C22="","",IFERROR(INDEX('システム'!$B:$B,MATCH(C22,'システム'!$A:$A,0)),"システムが未登録"))</f>
        <v/>
      </c>
      <c r="E22" s="17" t="n"/>
      <c r="F22" s="17" t="n"/>
      <c r="G22" s="17" t="n"/>
      <c r="H22" s="43" t="n"/>
      <c r="I22" s="17" t="n"/>
      <c r="J22" s="17" t="n"/>
      <c r="K22" s="17" t="n"/>
      <c r="L22" s="17" t="n"/>
      <c r="M22" s="17" t="n"/>
      <c r="N22" s="17" t="n"/>
      <c r="O22" s="22">
        <f>IF(A22="","",IF(I22&lt;&gt;"済","判定保留",IF(OR(N22="",J22="",K22="",L22="",J22="未確認",K22="未確認"),"判定保留",IF(AND(J22="はい",L22="無"),"入力エラー（GxP対象でSOP無）",IFERROR(INDEX('判定表'!$D:$D,MATCH("W|"&amp;N22&amp;"|"&amp;IF(OR(J22="はい",K22="はい",L22="無"),"あり","なし"),'判定表'!$A:$A,0)),"判定表にない組み合わせ")))))</f>
        <v/>
      </c>
      <c r="P22" s="22">
        <f>IF(A22="","",IF(C22="","対象外",IF(COUNTIFS('システム'!$A$4:$A$200,C22,'システム'!$N$4:$N$200,"移管")&gt;0,"移管",IF(COUNTIFS('システム'!$A$4:$A$200,C22,'システム'!$N$4:$N$200,"留保")&gt;0,"留保","判定保留"))))</f>
        <v/>
      </c>
      <c r="Q22" s="22">
        <f>IF(A22="","",IF(P22&lt;&gt;"移管","—",IF(N22="","判定保留",IFERROR(INDEX('判定表'!$E:$E,MATCH("W|"&amp;N22&amp;"|なし",'判定表'!$A:$A,0)),"判定表にない回答"))))</f>
        <v/>
      </c>
    </row>
    <row r="23">
      <c r="A23" s="17" t="n"/>
      <c r="B23" s="17" t="n"/>
      <c r="C23" s="17" t="n"/>
      <c r="D23" s="22">
        <f>IF(C23="","",IFERROR(INDEX('システム'!$B:$B,MATCH(C23,'システム'!$A:$A,0)),"システムが未登録"))</f>
        <v/>
      </c>
      <c r="E23" s="17" t="n"/>
      <c r="F23" s="17" t="n"/>
      <c r="G23" s="17" t="n"/>
      <c r="H23" s="43" t="n"/>
      <c r="I23" s="17" t="n"/>
      <c r="J23" s="17" t="n"/>
      <c r="K23" s="17" t="n"/>
      <c r="L23" s="17" t="n"/>
      <c r="M23" s="17" t="n"/>
      <c r="N23" s="17" t="n"/>
      <c r="O23" s="22">
        <f>IF(A23="","",IF(I23&lt;&gt;"済","判定保留",IF(OR(N23="",J23="",K23="",L23="",J23="未確認",K23="未確認"),"判定保留",IF(AND(J23="はい",L23="無"),"入力エラー（GxP対象でSOP無）",IFERROR(INDEX('判定表'!$D:$D,MATCH("W|"&amp;N23&amp;"|"&amp;IF(OR(J23="はい",K23="はい",L23="無"),"あり","なし"),'判定表'!$A:$A,0)),"判定表にない組み合わせ")))))</f>
        <v/>
      </c>
      <c r="P23" s="22">
        <f>IF(A23="","",IF(C23="","対象外",IF(COUNTIFS('システム'!$A$4:$A$200,C23,'システム'!$N$4:$N$200,"移管")&gt;0,"移管",IF(COUNTIFS('システム'!$A$4:$A$200,C23,'システム'!$N$4:$N$200,"留保")&gt;0,"留保","判定保留"))))</f>
        <v/>
      </c>
      <c r="Q23" s="22">
        <f>IF(A23="","",IF(P23&lt;&gt;"移管","—",IF(N23="","判定保留",IFERROR(INDEX('判定表'!$E:$E,MATCH("W|"&amp;N23&amp;"|なし",'判定表'!$A:$A,0)),"判定表にない回答"))))</f>
        <v/>
      </c>
    </row>
    <row r="24">
      <c r="A24" s="17" t="n"/>
      <c r="B24" s="17" t="n"/>
      <c r="C24" s="17" t="n"/>
      <c r="D24" s="22">
        <f>IF(C24="","",IFERROR(INDEX('システム'!$B:$B,MATCH(C24,'システム'!$A:$A,0)),"システムが未登録"))</f>
        <v/>
      </c>
      <c r="E24" s="17" t="n"/>
      <c r="F24" s="17" t="n"/>
      <c r="G24" s="17" t="n"/>
      <c r="H24" s="43" t="n"/>
      <c r="I24" s="17" t="n"/>
      <c r="J24" s="17" t="n"/>
      <c r="K24" s="17" t="n"/>
      <c r="L24" s="17" t="n"/>
      <c r="M24" s="17" t="n"/>
      <c r="N24" s="17" t="n"/>
      <c r="O24" s="22">
        <f>IF(A24="","",IF(I24&lt;&gt;"済","判定保留",IF(OR(N24="",J24="",K24="",L24="",J24="未確認",K24="未確認"),"判定保留",IF(AND(J24="はい",L24="無"),"入力エラー（GxP対象でSOP無）",IFERROR(INDEX('判定表'!$D:$D,MATCH("W|"&amp;N24&amp;"|"&amp;IF(OR(J24="はい",K24="はい",L24="無"),"あり","なし"),'判定表'!$A:$A,0)),"判定表にない組み合わせ")))))</f>
        <v/>
      </c>
      <c r="P24" s="22">
        <f>IF(A24="","",IF(C24="","対象外",IF(COUNTIFS('システム'!$A$4:$A$200,C24,'システム'!$N$4:$N$200,"移管")&gt;0,"移管",IF(COUNTIFS('システム'!$A$4:$A$200,C24,'システム'!$N$4:$N$200,"留保")&gt;0,"留保","判定保留"))))</f>
        <v/>
      </c>
      <c r="Q24" s="22">
        <f>IF(A24="","",IF(P24&lt;&gt;"移管","—",IF(N24="","判定保留",IFERROR(INDEX('判定表'!$E:$E,MATCH("W|"&amp;N24&amp;"|なし",'判定表'!$A:$A,0)),"判定表にない回答"))))</f>
        <v/>
      </c>
    </row>
    <row r="25">
      <c r="A25" s="17" t="n"/>
      <c r="B25" s="17" t="n"/>
      <c r="C25" s="17" t="n"/>
      <c r="D25" s="22">
        <f>IF(C25="","",IFERROR(INDEX('システム'!$B:$B,MATCH(C25,'システム'!$A:$A,0)),"システムが未登録"))</f>
        <v/>
      </c>
      <c r="E25" s="17" t="n"/>
      <c r="F25" s="17" t="n"/>
      <c r="G25" s="17" t="n"/>
      <c r="H25" s="43" t="n"/>
      <c r="I25" s="17" t="n"/>
      <c r="J25" s="17" t="n"/>
      <c r="K25" s="17" t="n"/>
      <c r="L25" s="17" t="n"/>
      <c r="M25" s="17" t="n"/>
      <c r="N25" s="17" t="n"/>
      <c r="O25" s="22">
        <f>IF(A25="","",IF(I25&lt;&gt;"済","判定保留",IF(OR(N25="",J25="",K25="",L25="",J25="未確認",K25="未確認"),"判定保留",IF(AND(J25="はい",L25="無"),"入力エラー（GxP対象でSOP無）",IFERROR(INDEX('判定表'!$D:$D,MATCH("W|"&amp;N25&amp;"|"&amp;IF(OR(J25="はい",K25="はい",L25="無"),"あり","なし"),'判定表'!$A:$A,0)),"判定表にない組み合わせ")))))</f>
        <v/>
      </c>
      <c r="P25" s="22">
        <f>IF(A25="","",IF(C25="","対象外",IF(COUNTIFS('システム'!$A$4:$A$200,C25,'システム'!$N$4:$N$200,"移管")&gt;0,"移管",IF(COUNTIFS('システム'!$A$4:$A$200,C25,'システム'!$N$4:$N$200,"留保")&gt;0,"留保","判定保留"))))</f>
        <v/>
      </c>
      <c r="Q25" s="22">
        <f>IF(A25="","",IF(P25&lt;&gt;"移管","—",IF(N25="","判定保留",IFERROR(INDEX('判定表'!$E:$E,MATCH("W|"&amp;N25&amp;"|なし",'判定表'!$A:$A,0)),"判定表にない回答"))))</f>
        <v/>
      </c>
    </row>
    <row r="26">
      <c r="A26" s="17" t="n"/>
      <c r="B26" s="17" t="n"/>
      <c r="C26" s="17" t="n"/>
      <c r="D26" s="22">
        <f>IF(C26="","",IFERROR(INDEX('システム'!$B:$B,MATCH(C26,'システム'!$A:$A,0)),"システムが未登録"))</f>
        <v/>
      </c>
      <c r="E26" s="17" t="n"/>
      <c r="F26" s="17" t="n"/>
      <c r="G26" s="17" t="n"/>
      <c r="H26" s="43" t="n"/>
      <c r="I26" s="17" t="n"/>
      <c r="J26" s="17" t="n"/>
      <c r="K26" s="17" t="n"/>
      <c r="L26" s="17" t="n"/>
      <c r="M26" s="17" t="n"/>
      <c r="N26" s="17" t="n"/>
      <c r="O26" s="22">
        <f>IF(A26="","",IF(I26&lt;&gt;"済","判定保留",IF(OR(N26="",J26="",K26="",L26="",J26="未確認",K26="未確認"),"判定保留",IF(AND(J26="はい",L26="無"),"入力エラー（GxP対象でSOP無）",IFERROR(INDEX('判定表'!$D:$D,MATCH("W|"&amp;N26&amp;"|"&amp;IF(OR(J26="はい",K26="はい",L26="無"),"あり","なし"),'判定表'!$A:$A,0)),"判定表にない組み合わせ")))))</f>
        <v/>
      </c>
      <c r="P26" s="22">
        <f>IF(A26="","",IF(C26="","対象外",IF(COUNTIFS('システム'!$A$4:$A$200,C26,'システム'!$N$4:$N$200,"移管")&gt;0,"移管",IF(COUNTIFS('システム'!$A$4:$A$200,C26,'システム'!$N$4:$N$200,"留保")&gt;0,"留保","判定保留"))))</f>
        <v/>
      </c>
      <c r="Q26" s="22">
        <f>IF(A26="","",IF(P26&lt;&gt;"移管","—",IF(N26="","判定保留",IFERROR(INDEX('判定表'!$E:$E,MATCH("W|"&amp;N26&amp;"|なし",'判定表'!$A:$A,0)),"判定表にない回答"))))</f>
        <v/>
      </c>
    </row>
    <row r="27">
      <c r="A27" s="17" t="n"/>
      <c r="B27" s="17" t="n"/>
      <c r="C27" s="17" t="n"/>
      <c r="D27" s="22">
        <f>IF(C27="","",IFERROR(INDEX('システム'!$B:$B,MATCH(C27,'システム'!$A:$A,0)),"システムが未登録"))</f>
        <v/>
      </c>
      <c r="E27" s="17" t="n"/>
      <c r="F27" s="17" t="n"/>
      <c r="G27" s="17" t="n"/>
      <c r="H27" s="43" t="n"/>
      <c r="I27" s="17" t="n"/>
      <c r="J27" s="17" t="n"/>
      <c r="K27" s="17" t="n"/>
      <c r="L27" s="17" t="n"/>
      <c r="M27" s="17" t="n"/>
      <c r="N27" s="17" t="n"/>
      <c r="O27" s="22">
        <f>IF(A27="","",IF(I27&lt;&gt;"済","判定保留",IF(OR(N27="",J27="",K27="",L27="",J27="未確認",K27="未確認"),"判定保留",IF(AND(J27="はい",L27="無"),"入力エラー（GxP対象でSOP無）",IFERROR(INDEX('判定表'!$D:$D,MATCH("W|"&amp;N27&amp;"|"&amp;IF(OR(J27="はい",K27="はい",L27="無"),"あり","なし"),'判定表'!$A:$A,0)),"判定表にない組み合わせ")))))</f>
        <v/>
      </c>
      <c r="P27" s="22">
        <f>IF(A27="","",IF(C27="","対象外",IF(COUNTIFS('システム'!$A$4:$A$200,C27,'システム'!$N$4:$N$200,"移管")&gt;0,"移管",IF(COUNTIFS('システム'!$A$4:$A$200,C27,'システム'!$N$4:$N$200,"留保")&gt;0,"留保","判定保留"))))</f>
        <v/>
      </c>
      <c r="Q27" s="22">
        <f>IF(A27="","",IF(P27&lt;&gt;"移管","—",IF(N27="","判定保留",IFERROR(INDEX('判定表'!$E:$E,MATCH("W|"&amp;N27&amp;"|なし",'判定表'!$A:$A,0)),"判定表にない回答"))))</f>
        <v/>
      </c>
    </row>
    <row r="28">
      <c r="A28" s="17" t="n"/>
      <c r="B28" s="17" t="n"/>
      <c r="C28" s="17" t="n"/>
      <c r="D28" s="22">
        <f>IF(C28="","",IFERROR(INDEX('システム'!$B:$B,MATCH(C28,'システム'!$A:$A,0)),"システムが未登録"))</f>
        <v/>
      </c>
      <c r="E28" s="17" t="n"/>
      <c r="F28" s="17" t="n"/>
      <c r="G28" s="17" t="n"/>
      <c r="H28" s="43" t="n"/>
      <c r="I28" s="17" t="n"/>
      <c r="J28" s="17" t="n"/>
      <c r="K28" s="17" t="n"/>
      <c r="L28" s="17" t="n"/>
      <c r="M28" s="17" t="n"/>
      <c r="N28" s="17" t="n"/>
      <c r="O28" s="22">
        <f>IF(A28="","",IF(I28&lt;&gt;"済","判定保留",IF(OR(N28="",J28="",K28="",L28="",J28="未確認",K28="未確認"),"判定保留",IF(AND(J28="はい",L28="無"),"入力エラー（GxP対象でSOP無）",IFERROR(INDEX('判定表'!$D:$D,MATCH("W|"&amp;N28&amp;"|"&amp;IF(OR(J28="はい",K28="はい",L28="無"),"あり","なし"),'判定表'!$A:$A,0)),"判定表にない組み合わせ")))))</f>
        <v/>
      </c>
      <c r="P28" s="22">
        <f>IF(A28="","",IF(C28="","対象外",IF(COUNTIFS('システム'!$A$4:$A$200,C28,'システム'!$N$4:$N$200,"移管")&gt;0,"移管",IF(COUNTIFS('システム'!$A$4:$A$200,C28,'システム'!$N$4:$N$200,"留保")&gt;0,"留保","判定保留"))))</f>
        <v/>
      </c>
      <c r="Q28" s="22">
        <f>IF(A28="","",IF(P28&lt;&gt;"移管","—",IF(N28="","判定保留",IFERROR(INDEX('判定表'!$E:$E,MATCH("W|"&amp;N28&amp;"|なし",'判定表'!$A:$A,0)),"判定表にない回答"))))</f>
        <v/>
      </c>
    </row>
    <row r="29">
      <c r="A29" s="17" t="n"/>
      <c r="B29" s="17" t="n"/>
      <c r="C29" s="17" t="n"/>
      <c r="D29" s="22">
        <f>IF(C29="","",IFERROR(INDEX('システム'!$B:$B,MATCH(C29,'システム'!$A:$A,0)),"システムが未登録"))</f>
        <v/>
      </c>
      <c r="E29" s="17" t="n"/>
      <c r="F29" s="17" t="n"/>
      <c r="G29" s="17" t="n"/>
      <c r="H29" s="43" t="n"/>
      <c r="I29" s="17" t="n"/>
      <c r="J29" s="17" t="n"/>
      <c r="K29" s="17" t="n"/>
      <c r="L29" s="17" t="n"/>
      <c r="M29" s="17" t="n"/>
      <c r="N29" s="17" t="n"/>
      <c r="O29" s="22">
        <f>IF(A29="","",IF(I29&lt;&gt;"済","判定保留",IF(OR(N29="",J29="",K29="",L29="",J29="未確認",K29="未確認"),"判定保留",IF(AND(J29="はい",L29="無"),"入力エラー（GxP対象でSOP無）",IFERROR(INDEX('判定表'!$D:$D,MATCH("W|"&amp;N29&amp;"|"&amp;IF(OR(J29="はい",K29="はい",L29="無"),"あり","なし"),'判定表'!$A:$A,0)),"判定表にない組み合わせ")))))</f>
        <v/>
      </c>
      <c r="P29" s="22">
        <f>IF(A29="","",IF(C29="","対象外",IF(COUNTIFS('システム'!$A$4:$A$200,C29,'システム'!$N$4:$N$200,"移管")&gt;0,"移管",IF(COUNTIFS('システム'!$A$4:$A$200,C29,'システム'!$N$4:$N$200,"留保")&gt;0,"留保","判定保留"))))</f>
        <v/>
      </c>
      <c r="Q29" s="22">
        <f>IF(A29="","",IF(P29&lt;&gt;"移管","—",IF(N29="","判定保留",IFERROR(INDEX('判定表'!$E:$E,MATCH("W|"&amp;N29&amp;"|なし",'判定表'!$A:$A,0)),"判定表にない回答"))))</f>
        <v/>
      </c>
    </row>
    <row r="30">
      <c r="A30" s="17" t="n"/>
      <c r="B30" s="17" t="n"/>
      <c r="C30" s="17" t="n"/>
      <c r="D30" s="22">
        <f>IF(C30="","",IFERROR(INDEX('システム'!$B:$B,MATCH(C30,'システム'!$A:$A,0)),"システムが未登録"))</f>
        <v/>
      </c>
      <c r="E30" s="17" t="n"/>
      <c r="F30" s="17" t="n"/>
      <c r="G30" s="17" t="n"/>
      <c r="H30" s="43" t="n"/>
      <c r="I30" s="17" t="n"/>
      <c r="J30" s="17" t="n"/>
      <c r="K30" s="17" t="n"/>
      <c r="L30" s="17" t="n"/>
      <c r="M30" s="17" t="n"/>
      <c r="N30" s="17" t="n"/>
      <c r="O30" s="22">
        <f>IF(A30="","",IF(I30&lt;&gt;"済","判定保留",IF(OR(N30="",J30="",K30="",L30="",J30="未確認",K30="未確認"),"判定保留",IF(AND(J30="はい",L30="無"),"入力エラー（GxP対象でSOP無）",IFERROR(INDEX('判定表'!$D:$D,MATCH("W|"&amp;N30&amp;"|"&amp;IF(OR(J30="はい",K30="はい",L30="無"),"あり","なし"),'判定表'!$A:$A,0)),"判定表にない組み合わせ")))))</f>
        <v/>
      </c>
      <c r="P30" s="22">
        <f>IF(A30="","",IF(C30="","対象外",IF(COUNTIFS('システム'!$A$4:$A$200,C30,'システム'!$N$4:$N$200,"移管")&gt;0,"移管",IF(COUNTIFS('システム'!$A$4:$A$200,C30,'システム'!$N$4:$N$200,"留保")&gt;0,"留保","判定保留"))))</f>
        <v/>
      </c>
      <c r="Q30" s="22">
        <f>IF(A30="","",IF(P30&lt;&gt;"移管","—",IF(N30="","判定保留",IFERROR(INDEX('判定表'!$E:$E,MATCH("W|"&amp;N30&amp;"|なし",'判定表'!$A:$A,0)),"判定表にない回答"))))</f>
        <v/>
      </c>
    </row>
    <row r="31">
      <c r="A31" s="17" t="n"/>
      <c r="B31" s="17" t="n"/>
      <c r="C31" s="17" t="n"/>
      <c r="D31" s="22">
        <f>IF(C31="","",IFERROR(INDEX('システム'!$B:$B,MATCH(C31,'システム'!$A:$A,0)),"システムが未登録"))</f>
        <v/>
      </c>
      <c r="E31" s="17" t="n"/>
      <c r="F31" s="17" t="n"/>
      <c r="G31" s="17" t="n"/>
      <c r="H31" s="43" t="n"/>
      <c r="I31" s="17" t="n"/>
      <c r="J31" s="17" t="n"/>
      <c r="K31" s="17" t="n"/>
      <c r="L31" s="17" t="n"/>
      <c r="M31" s="17" t="n"/>
      <c r="N31" s="17" t="n"/>
      <c r="O31" s="22">
        <f>IF(A31="","",IF(I31&lt;&gt;"済","判定保留",IF(OR(N31="",J31="",K31="",L31="",J31="未確認",K31="未確認"),"判定保留",IF(AND(J31="はい",L31="無"),"入力エラー（GxP対象でSOP無）",IFERROR(INDEX('判定表'!$D:$D,MATCH("W|"&amp;N31&amp;"|"&amp;IF(OR(J31="はい",K31="はい",L31="無"),"あり","なし"),'判定表'!$A:$A,0)),"判定表にない組み合わせ")))))</f>
        <v/>
      </c>
      <c r="P31" s="22">
        <f>IF(A31="","",IF(C31="","対象外",IF(COUNTIFS('システム'!$A$4:$A$200,C31,'システム'!$N$4:$N$200,"移管")&gt;0,"移管",IF(COUNTIFS('システム'!$A$4:$A$200,C31,'システム'!$N$4:$N$200,"留保")&gt;0,"留保","判定保留"))))</f>
        <v/>
      </c>
      <c r="Q31" s="22">
        <f>IF(A31="","",IF(P31&lt;&gt;"移管","—",IF(N31="","判定保留",IFERROR(INDEX('判定表'!$E:$E,MATCH("W|"&amp;N31&amp;"|なし",'判定表'!$A:$A,0)),"判定表にない回答"))))</f>
        <v/>
      </c>
    </row>
    <row r="32">
      <c r="A32" s="17" t="n"/>
      <c r="B32" s="17" t="n"/>
      <c r="C32" s="17" t="n"/>
      <c r="D32" s="22">
        <f>IF(C32="","",IFERROR(INDEX('システム'!$B:$B,MATCH(C32,'システム'!$A:$A,0)),"システムが未登録"))</f>
        <v/>
      </c>
      <c r="E32" s="17" t="n"/>
      <c r="F32" s="17" t="n"/>
      <c r="G32" s="17" t="n"/>
      <c r="H32" s="43" t="n"/>
      <c r="I32" s="17" t="n"/>
      <c r="J32" s="17" t="n"/>
      <c r="K32" s="17" t="n"/>
      <c r="L32" s="17" t="n"/>
      <c r="M32" s="17" t="n"/>
      <c r="N32" s="17" t="n"/>
      <c r="O32" s="22">
        <f>IF(A32="","",IF(I32&lt;&gt;"済","判定保留",IF(OR(N32="",J32="",K32="",L32="",J32="未確認",K32="未確認"),"判定保留",IF(AND(J32="はい",L32="無"),"入力エラー（GxP対象でSOP無）",IFERROR(INDEX('判定表'!$D:$D,MATCH("W|"&amp;N32&amp;"|"&amp;IF(OR(J32="はい",K32="はい",L32="無"),"あり","なし"),'判定表'!$A:$A,0)),"判定表にない組み合わせ")))))</f>
        <v/>
      </c>
      <c r="P32" s="22">
        <f>IF(A32="","",IF(C32="","対象外",IF(COUNTIFS('システム'!$A$4:$A$200,C32,'システム'!$N$4:$N$200,"移管")&gt;0,"移管",IF(COUNTIFS('システム'!$A$4:$A$200,C32,'システム'!$N$4:$N$200,"留保")&gt;0,"留保","判定保留"))))</f>
        <v/>
      </c>
      <c r="Q32" s="22">
        <f>IF(A32="","",IF(P32&lt;&gt;"移管","—",IF(N32="","判定保留",IFERROR(INDEX('判定表'!$E:$E,MATCH("W|"&amp;N32&amp;"|なし",'判定表'!$A:$A,0)),"判定表にない回答"))))</f>
        <v/>
      </c>
    </row>
    <row r="33">
      <c r="A33" s="17" t="n"/>
      <c r="B33" s="17" t="n"/>
      <c r="C33" s="17" t="n"/>
      <c r="D33" s="22">
        <f>IF(C33="","",IFERROR(INDEX('システム'!$B:$B,MATCH(C33,'システム'!$A:$A,0)),"システムが未登録"))</f>
        <v/>
      </c>
      <c r="E33" s="17" t="n"/>
      <c r="F33" s="17" t="n"/>
      <c r="G33" s="17" t="n"/>
      <c r="H33" s="43" t="n"/>
      <c r="I33" s="17" t="n"/>
      <c r="J33" s="17" t="n"/>
      <c r="K33" s="17" t="n"/>
      <c r="L33" s="17" t="n"/>
      <c r="M33" s="17" t="n"/>
      <c r="N33" s="17" t="n"/>
      <c r="O33" s="22">
        <f>IF(A33="","",IF(I33&lt;&gt;"済","判定保留",IF(OR(N33="",J33="",K33="",L33="",J33="未確認",K33="未確認"),"判定保留",IF(AND(J33="はい",L33="無"),"入力エラー（GxP対象でSOP無）",IFERROR(INDEX('判定表'!$D:$D,MATCH("W|"&amp;N33&amp;"|"&amp;IF(OR(J33="はい",K33="はい",L33="無"),"あり","なし"),'判定表'!$A:$A,0)),"判定表にない組み合わせ")))))</f>
        <v/>
      </c>
      <c r="P33" s="22">
        <f>IF(A33="","",IF(C33="","対象外",IF(COUNTIFS('システム'!$A$4:$A$200,C33,'システム'!$N$4:$N$200,"移管")&gt;0,"移管",IF(COUNTIFS('システム'!$A$4:$A$200,C33,'システム'!$N$4:$N$200,"留保")&gt;0,"留保","判定保留"))))</f>
        <v/>
      </c>
      <c r="Q33" s="22">
        <f>IF(A33="","",IF(P33&lt;&gt;"移管","—",IF(N33="","判定保留",IFERROR(INDEX('判定表'!$E:$E,MATCH("W|"&amp;N33&amp;"|なし",'判定表'!$A:$A,0)),"判定表にない回答"))))</f>
        <v/>
      </c>
    </row>
    <row r="34">
      <c r="A34" s="17" t="n"/>
      <c r="B34" s="17" t="n"/>
      <c r="C34" s="17" t="n"/>
      <c r="D34" s="22">
        <f>IF(C34="","",IFERROR(INDEX('システム'!$B:$B,MATCH(C34,'システム'!$A:$A,0)),"システムが未登録"))</f>
        <v/>
      </c>
      <c r="E34" s="17" t="n"/>
      <c r="F34" s="17" t="n"/>
      <c r="G34" s="17" t="n"/>
      <c r="H34" s="43" t="n"/>
      <c r="I34" s="17" t="n"/>
      <c r="J34" s="17" t="n"/>
      <c r="K34" s="17" t="n"/>
      <c r="L34" s="17" t="n"/>
      <c r="M34" s="17" t="n"/>
      <c r="N34" s="17" t="n"/>
      <c r="O34" s="22">
        <f>IF(A34="","",IF(I34&lt;&gt;"済","判定保留",IF(OR(N34="",J34="",K34="",L34="",J34="未確認",K34="未確認"),"判定保留",IF(AND(J34="はい",L34="無"),"入力エラー（GxP対象でSOP無）",IFERROR(INDEX('判定表'!$D:$D,MATCH("W|"&amp;N34&amp;"|"&amp;IF(OR(J34="はい",K34="はい",L34="無"),"あり","なし"),'判定表'!$A:$A,0)),"判定表にない組み合わせ")))))</f>
        <v/>
      </c>
      <c r="P34" s="22">
        <f>IF(A34="","",IF(C34="","対象外",IF(COUNTIFS('システム'!$A$4:$A$200,C34,'システム'!$N$4:$N$200,"移管")&gt;0,"移管",IF(COUNTIFS('システム'!$A$4:$A$200,C34,'システム'!$N$4:$N$200,"留保")&gt;0,"留保","判定保留"))))</f>
        <v/>
      </c>
      <c r="Q34" s="22">
        <f>IF(A34="","",IF(P34&lt;&gt;"移管","—",IF(N34="","判定保留",IFERROR(INDEX('判定表'!$E:$E,MATCH("W|"&amp;N34&amp;"|なし",'判定表'!$A:$A,0)),"判定表にない回答"))))</f>
        <v/>
      </c>
    </row>
    <row r="35">
      <c r="A35" s="17" t="n"/>
      <c r="B35" s="17" t="n"/>
      <c r="C35" s="17" t="n"/>
      <c r="D35" s="22">
        <f>IF(C35="","",IFERROR(INDEX('システム'!$B:$B,MATCH(C35,'システム'!$A:$A,0)),"システムが未登録"))</f>
        <v/>
      </c>
      <c r="E35" s="17" t="n"/>
      <c r="F35" s="17" t="n"/>
      <c r="G35" s="17" t="n"/>
      <c r="H35" s="43" t="n"/>
      <c r="I35" s="17" t="n"/>
      <c r="J35" s="17" t="n"/>
      <c r="K35" s="17" t="n"/>
      <c r="L35" s="17" t="n"/>
      <c r="M35" s="17" t="n"/>
      <c r="N35" s="17" t="n"/>
      <c r="O35" s="22">
        <f>IF(A35="","",IF(I35&lt;&gt;"済","判定保留",IF(OR(N35="",J35="",K35="",L35="",J35="未確認",K35="未確認"),"判定保留",IF(AND(J35="はい",L35="無"),"入力エラー（GxP対象でSOP無）",IFERROR(INDEX('判定表'!$D:$D,MATCH("W|"&amp;N35&amp;"|"&amp;IF(OR(J35="はい",K35="はい",L35="無"),"あり","なし"),'判定表'!$A:$A,0)),"判定表にない組み合わせ")))))</f>
        <v/>
      </c>
      <c r="P35" s="22">
        <f>IF(A35="","",IF(C35="","対象外",IF(COUNTIFS('システム'!$A$4:$A$200,C35,'システム'!$N$4:$N$200,"移管")&gt;0,"移管",IF(COUNTIFS('システム'!$A$4:$A$200,C35,'システム'!$N$4:$N$200,"留保")&gt;0,"留保","判定保留"))))</f>
        <v/>
      </c>
      <c r="Q35" s="22">
        <f>IF(A35="","",IF(P35&lt;&gt;"移管","—",IF(N35="","判定保留",IFERROR(INDEX('判定表'!$E:$E,MATCH("W|"&amp;N35&amp;"|なし",'判定表'!$A:$A,0)),"判定表にない回答"))))</f>
        <v/>
      </c>
    </row>
    <row r="36">
      <c r="A36" s="17" t="n"/>
      <c r="B36" s="17" t="n"/>
      <c r="C36" s="17" t="n"/>
      <c r="D36" s="22">
        <f>IF(C36="","",IFERROR(INDEX('システム'!$B:$B,MATCH(C36,'システム'!$A:$A,0)),"システムが未登録"))</f>
        <v/>
      </c>
      <c r="E36" s="17" t="n"/>
      <c r="F36" s="17" t="n"/>
      <c r="G36" s="17" t="n"/>
      <c r="H36" s="43" t="n"/>
      <c r="I36" s="17" t="n"/>
      <c r="J36" s="17" t="n"/>
      <c r="K36" s="17" t="n"/>
      <c r="L36" s="17" t="n"/>
      <c r="M36" s="17" t="n"/>
      <c r="N36" s="17" t="n"/>
      <c r="O36" s="22">
        <f>IF(A36="","",IF(I36&lt;&gt;"済","判定保留",IF(OR(N36="",J36="",K36="",L36="",J36="未確認",K36="未確認"),"判定保留",IF(AND(J36="はい",L36="無"),"入力エラー（GxP対象でSOP無）",IFERROR(INDEX('判定表'!$D:$D,MATCH("W|"&amp;N36&amp;"|"&amp;IF(OR(J36="はい",K36="はい",L36="無"),"あり","なし"),'判定表'!$A:$A,0)),"判定表にない組み合わせ")))))</f>
        <v/>
      </c>
      <c r="P36" s="22">
        <f>IF(A36="","",IF(C36="","対象外",IF(COUNTIFS('システム'!$A$4:$A$200,C36,'システム'!$N$4:$N$200,"移管")&gt;0,"移管",IF(COUNTIFS('システム'!$A$4:$A$200,C36,'システム'!$N$4:$N$200,"留保")&gt;0,"留保","判定保留"))))</f>
        <v/>
      </c>
      <c r="Q36" s="22">
        <f>IF(A36="","",IF(P36&lt;&gt;"移管","—",IF(N36="","判定保留",IFERROR(INDEX('判定表'!$E:$E,MATCH("W|"&amp;N36&amp;"|なし",'判定表'!$A:$A,0)),"判定表にない回答"))))</f>
        <v/>
      </c>
    </row>
    <row r="37">
      <c r="A37" s="17" t="n"/>
      <c r="B37" s="17" t="n"/>
      <c r="C37" s="17" t="n"/>
      <c r="D37" s="22">
        <f>IF(C37="","",IFERROR(INDEX('システム'!$B:$B,MATCH(C37,'システム'!$A:$A,0)),"システムが未登録"))</f>
        <v/>
      </c>
      <c r="E37" s="17" t="n"/>
      <c r="F37" s="17" t="n"/>
      <c r="G37" s="17" t="n"/>
      <c r="H37" s="43" t="n"/>
      <c r="I37" s="17" t="n"/>
      <c r="J37" s="17" t="n"/>
      <c r="K37" s="17" t="n"/>
      <c r="L37" s="17" t="n"/>
      <c r="M37" s="17" t="n"/>
      <c r="N37" s="17" t="n"/>
      <c r="O37" s="22">
        <f>IF(A37="","",IF(I37&lt;&gt;"済","判定保留",IF(OR(N37="",J37="",K37="",L37="",J37="未確認",K37="未確認"),"判定保留",IF(AND(J37="はい",L37="無"),"入力エラー（GxP対象でSOP無）",IFERROR(INDEX('判定表'!$D:$D,MATCH("W|"&amp;N37&amp;"|"&amp;IF(OR(J37="はい",K37="はい",L37="無"),"あり","なし"),'判定表'!$A:$A,0)),"判定表にない組み合わせ")))))</f>
        <v/>
      </c>
      <c r="P37" s="22">
        <f>IF(A37="","",IF(C37="","対象外",IF(COUNTIFS('システム'!$A$4:$A$200,C37,'システム'!$N$4:$N$200,"移管")&gt;0,"移管",IF(COUNTIFS('システム'!$A$4:$A$200,C37,'システム'!$N$4:$N$200,"留保")&gt;0,"留保","判定保留"))))</f>
        <v/>
      </c>
      <c r="Q37" s="22">
        <f>IF(A37="","",IF(P37&lt;&gt;"移管","—",IF(N37="","判定保留",IFERROR(INDEX('判定表'!$E:$E,MATCH("W|"&amp;N37&amp;"|なし",'判定表'!$A:$A,0)),"判定表にない回答"))))</f>
        <v/>
      </c>
    </row>
    <row r="38">
      <c r="A38" s="17" t="n"/>
      <c r="B38" s="17" t="n"/>
      <c r="C38" s="17" t="n"/>
      <c r="D38" s="22">
        <f>IF(C38="","",IFERROR(INDEX('システム'!$B:$B,MATCH(C38,'システム'!$A:$A,0)),"システムが未登録"))</f>
        <v/>
      </c>
      <c r="E38" s="17" t="n"/>
      <c r="F38" s="17" t="n"/>
      <c r="G38" s="17" t="n"/>
      <c r="H38" s="43" t="n"/>
      <c r="I38" s="17" t="n"/>
      <c r="J38" s="17" t="n"/>
      <c r="K38" s="17" t="n"/>
      <c r="L38" s="17" t="n"/>
      <c r="M38" s="17" t="n"/>
      <c r="N38" s="17" t="n"/>
      <c r="O38" s="22">
        <f>IF(A38="","",IF(I38&lt;&gt;"済","判定保留",IF(OR(N38="",J38="",K38="",L38="",J38="未確認",K38="未確認"),"判定保留",IF(AND(J38="はい",L38="無"),"入力エラー（GxP対象でSOP無）",IFERROR(INDEX('判定表'!$D:$D,MATCH("W|"&amp;N38&amp;"|"&amp;IF(OR(J38="はい",K38="はい",L38="無"),"あり","なし"),'判定表'!$A:$A,0)),"判定表にない組み合わせ")))))</f>
        <v/>
      </c>
      <c r="P38" s="22">
        <f>IF(A38="","",IF(C38="","対象外",IF(COUNTIFS('システム'!$A$4:$A$200,C38,'システム'!$N$4:$N$200,"移管")&gt;0,"移管",IF(COUNTIFS('システム'!$A$4:$A$200,C38,'システム'!$N$4:$N$200,"留保")&gt;0,"留保","判定保留"))))</f>
        <v/>
      </c>
      <c r="Q38" s="22">
        <f>IF(A38="","",IF(P38&lt;&gt;"移管","—",IF(N38="","判定保留",IFERROR(INDEX('判定表'!$E:$E,MATCH("W|"&amp;N38&amp;"|なし",'判定表'!$A:$A,0)),"判定表にない回答"))))</f>
        <v/>
      </c>
    </row>
    <row r="39">
      <c r="A39" s="17" t="n"/>
      <c r="B39" s="17" t="n"/>
      <c r="C39" s="17" t="n"/>
      <c r="D39" s="22">
        <f>IF(C39="","",IFERROR(INDEX('システム'!$B:$B,MATCH(C39,'システム'!$A:$A,0)),"システムが未登録"))</f>
        <v/>
      </c>
      <c r="E39" s="17" t="n"/>
      <c r="F39" s="17" t="n"/>
      <c r="G39" s="17" t="n"/>
      <c r="H39" s="43" t="n"/>
      <c r="I39" s="17" t="n"/>
      <c r="J39" s="17" t="n"/>
      <c r="K39" s="17" t="n"/>
      <c r="L39" s="17" t="n"/>
      <c r="M39" s="17" t="n"/>
      <c r="N39" s="17" t="n"/>
      <c r="O39" s="22">
        <f>IF(A39="","",IF(I39&lt;&gt;"済","判定保留",IF(OR(N39="",J39="",K39="",L39="",J39="未確認",K39="未確認"),"判定保留",IF(AND(J39="はい",L39="無"),"入力エラー（GxP対象でSOP無）",IFERROR(INDEX('判定表'!$D:$D,MATCH("W|"&amp;N39&amp;"|"&amp;IF(OR(J39="はい",K39="はい",L39="無"),"あり","なし"),'判定表'!$A:$A,0)),"判定表にない組み合わせ")))))</f>
        <v/>
      </c>
      <c r="P39" s="22">
        <f>IF(A39="","",IF(C39="","対象外",IF(COUNTIFS('システム'!$A$4:$A$200,C39,'システム'!$N$4:$N$200,"移管")&gt;0,"移管",IF(COUNTIFS('システム'!$A$4:$A$200,C39,'システム'!$N$4:$N$200,"留保")&gt;0,"留保","判定保留"))))</f>
        <v/>
      </c>
      <c r="Q39" s="22">
        <f>IF(A39="","",IF(P39&lt;&gt;"移管","—",IF(N39="","判定保留",IFERROR(INDEX('判定表'!$E:$E,MATCH("W|"&amp;N39&amp;"|なし",'判定表'!$A:$A,0)),"判定表にない回答"))))</f>
        <v/>
      </c>
    </row>
    <row r="40">
      <c r="A40" s="17" t="n"/>
      <c r="B40" s="17" t="n"/>
      <c r="C40" s="17" t="n"/>
      <c r="D40" s="22">
        <f>IF(C40="","",IFERROR(INDEX('システム'!$B:$B,MATCH(C40,'システム'!$A:$A,0)),"システムが未登録"))</f>
        <v/>
      </c>
      <c r="E40" s="17" t="n"/>
      <c r="F40" s="17" t="n"/>
      <c r="G40" s="17" t="n"/>
      <c r="H40" s="43" t="n"/>
      <c r="I40" s="17" t="n"/>
      <c r="J40" s="17" t="n"/>
      <c r="K40" s="17" t="n"/>
      <c r="L40" s="17" t="n"/>
      <c r="M40" s="17" t="n"/>
      <c r="N40" s="17" t="n"/>
      <c r="O40" s="22">
        <f>IF(A40="","",IF(I40&lt;&gt;"済","判定保留",IF(OR(N40="",J40="",K40="",L40="",J40="未確認",K40="未確認"),"判定保留",IF(AND(J40="はい",L40="無"),"入力エラー（GxP対象でSOP無）",IFERROR(INDEX('判定表'!$D:$D,MATCH("W|"&amp;N40&amp;"|"&amp;IF(OR(J40="はい",K40="はい",L40="無"),"あり","なし"),'判定表'!$A:$A,0)),"判定表にない組み合わせ")))))</f>
        <v/>
      </c>
      <c r="P40" s="22">
        <f>IF(A40="","",IF(C40="","対象外",IF(COUNTIFS('システム'!$A$4:$A$200,C40,'システム'!$N$4:$N$200,"移管")&gt;0,"移管",IF(COUNTIFS('システム'!$A$4:$A$200,C40,'システム'!$N$4:$N$200,"留保")&gt;0,"留保","判定保留"))))</f>
        <v/>
      </c>
      <c r="Q40" s="22">
        <f>IF(A40="","",IF(P40&lt;&gt;"移管","—",IF(N40="","判定保留",IFERROR(INDEX('判定表'!$E:$E,MATCH("W|"&amp;N40&amp;"|なし",'判定表'!$A:$A,0)),"判定表にない回答"))))</f>
        <v/>
      </c>
    </row>
    <row r="41">
      <c r="A41" s="17" t="n"/>
      <c r="B41" s="17" t="n"/>
      <c r="C41" s="17" t="n"/>
      <c r="D41" s="22">
        <f>IF(C41="","",IFERROR(INDEX('システム'!$B:$B,MATCH(C41,'システム'!$A:$A,0)),"システムが未登録"))</f>
        <v/>
      </c>
      <c r="E41" s="17" t="n"/>
      <c r="F41" s="17" t="n"/>
      <c r="G41" s="17" t="n"/>
      <c r="H41" s="43" t="n"/>
      <c r="I41" s="17" t="n"/>
      <c r="J41" s="17" t="n"/>
      <c r="K41" s="17" t="n"/>
      <c r="L41" s="17" t="n"/>
      <c r="M41" s="17" t="n"/>
      <c r="N41" s="17" t="n"/>
      <c r="O41" s="22">
        <f>IF(A41="","",IF(I41&lt;&gt;"済","判定保留",IF(OR(N41="",J41="",K41="",L41="",J41="未確認",K41="未確認"),"判定保留",IF(AND(J41="はい",L41="無"),"入力エラー（GxP対象でSOP無）",IFERROR(INDEX('判定表'!$D:$D,MATCH("W|"&amp;N41&amp;"|"&amp;IF(OR(J41="はい",K41="はい",L41="無"),"あり","なし"),'判定表'!$A:$A,0)),"判定表にない組み合わせ")))))</f>
        <v/>
      </c>
      <c r="P41" s="22">
        <f>IF(A41="","",IF(C41="","対象外",IF(COUNTIFS('システム'!$A$4:$A$200,C41,'システム'!$N$4:$N$200,"移管")&gt;0,"移管",IF(COUNTIFS('システム'!$A$4:$A$200,C41,'システム'!$N$4:$N$200,"留保")&gt;0,"留保","判定保留"))))</f>
        <v/>
      </c>
      <c r="Q41" s="22">
        <f>IF(A41="","",IF(P41&lt;&gt;"移管","—",IF(N41="","判定保留",IFERROR(INDEX('判定表'!$E:$E,MATCH("W|"&amp;N41&amp;"|なし",'判定表'!$A:$A,0)),"判定表にない回答"))))</f>
        <v/>
      </c>
    </row>
    <row r="42">
      <c r="A42" s="17" t="n"/>
      <c r="B42" s="17" t="n"/>
      <c r="C42" s="17" t="n"/>
      <c r="D42" s="22">
        <f>IF(C42="","",IFERROR(INDEX('システム'!$B:$B,MATCH(C42,'システム'!$A:$A,0)),"システムが未登録"))</f>
        <v/>
      </c>
      <c r="E42" s="17" t="n"/>
      <c r="F42" s="17" t="n"/>
      <c r="G42" s="17" t="n"/>
      <c r="H42" s="43" t="n"/>
      <c r="I42" s="17" t="n"/>
      <c r="J42" s="17" t="n"/>
      <c r="K42" s="17" t="n"/>
      <c r="L42" s="17" t="n"/>
      <c r="M42" s="17" t="n"/>
      <c r="N42" s="17" t="n"/>
      <c r="O42" s="22">
        <f>IF(A42="","",IF(I42&lt;&gt;"済","判定保留",IF(OR(N42="",J42="",K42="",L42="",J42="未確認",K42="未確認"),"判定保留",IF(AND(J42="はい",L42="無"),"入力エラー（GxP対象でSOP無）",IFERROR(INDEX('判定表'!$D:$D,MATCH("W|"&amp;N42&amp;"|"&amp;IF(OR(J42="はい",K42="はい",L42="無"),"あり","なし"),'判定表'!$A:$A,0)),"判定表にない組み合わせ")))))</f>
        <v/>
      </c>
      <c r="P42" s="22">
        <f>IF(A42="","",IF(C42="","対象外",IF(COUNTIFS('システム'!$A$4:$A$200,C42,'システム'!$N$4:$N$200,"移管")&gt;0,"移管",IF(COUNTIFS('システム'!$A$4:$A$200,C42,'システム'!$N$4:$N$200,"留保")&gt;0,"留保","判定保留"))))</f>
        <v/>
      </c>
      <c r="Q42" s="22">
        <f>IF(A42="","",IF(P42&lt;&gt;"移管","—",IF(N42="","判定保留",IFERROR(INDEX('判定表'!$E:$E,MATCH("W|"&amp;N42&amp;"|なし",'判定表'!$A:$A,0)),"判定表にない回答"))))</f>
        <v/>
      </c>
    </row>
    <row r="43">
      <c r="A43" s="17" t="n"/>
      <c r="B43" s="17" t="n"/>
      <c r="C43" s="17" t="n"/>
      <c r="D43" s="22">
        <f>IF(C43="","",IFERROR(INDEX('システム'!$B:$B,MATCH(C43,'システム'!$A:$A,0)),"システムが未登録"))</f>
        <v/>
      </c>
      <c r="E43" s="17" t="n"/>
      <c r="F43" s="17" t="n"/>
      <c r="G43" s="17" t="n"/>
      <c r="H43" s="43" t="n"/>
      <c r="I43" s="17" t="n"/>
      <c r="J43" s="17" t="n"/>
      <c r="K43" s="17" t="n"/>
      <c r="L43" s="17" t="n"/>
      <c r="M43" s="17" t="n"/>
      <c r="N43" s="17" t="n"/>
      <c r="O43" s="22">
        <f>IF(A43="","",IF(I43&lt;&gt;"済","判定保留",IF(OR(N43="",J43="",K43="",L43="",J43="未確認",K43="未確認"),"判定保留",IF(AND(J43="はい",L43="無"),"入力エラー（GxP対象でSOP無）",IFERROR(INDEX('判定表'!$D:$D,MATCH("W|"&amp;N43&amp;"|"&amp;IF(OR(J43="はい",K43="はい",L43="無"),"あり","なし"),'判定表'!$A:$A,0)),"判定表にない組み合わせ")))))</f>
        <v/>
      </c>
      <c r="P43" s="22">
        <f>IF(A43="","",IF(C43="","対象外",IF(COUNTIFS('システム'!$A$4:$A$200,C43,'システム'!$N$4:$N$200,"移管")&gt;0,"移管",IF(COUNTIFS('システム'!$A$4:$A$200,C43,'システム'!$N$4:$N$200,"留保")&gt;0,"留保","判定保留"))))</f>
        <v/>
      </c>
      <c r="Q43" s="22">
        <f>IF(A43="","",IF(P43&lt;&gt;"移管","—",IF(N43="","判定保留",IFERROR(INDEX('判定表'!$E:$E,MATCH("W|"&amp;N43&amp;"|なし",'判定表'!$A:$A,0)),"判定表にない回答"))))</f>
        <v/>
      </c>
    </row>
    <row r="44">
      <c r="A44" s="17" t="n"/>
      <c r="B44" s="17" t="n"/>
      <c r="C44" s="17" t="n"/>
      <c r="D44" s="22">
        <f>IF(C44="","",IFERROR(INDEX('システム'!$B:$B,MATCH(C44,'システム'!$A:$A,0)),"システムが未登録"))</f>
        <v/>
      </c>
      <c r="E44" s="17" t="n"/>
      <c r="F44" s="17" t="n"/>
      <c r="G44" s="17" t="n"/>
      <c r="H44" s="43" t="n"/>
      <c r="I44" s="17" t="n"/>
      <c r="J44" s="17" t="n"/>
      <c r="K44" s="17" t="n"/>
      <c r="L44" s="17" t="n"/>
      <c r="M44" s="17" t="n"/>
      <c r="N44" s="17" t="n"/>
      <c r="O44" s="22">
        <f>IF(A44="","",IF(I44&lt;&gt;"済","判定保留",IF(OR(N44="",J44="",K44="",L44="",J44="未確認",K44="未確認"),"判定保留",IF(AND(J44="はい",L44="無"),"入力エラー（GxP対象でSOP無）",IFERROR(INDEX('判定表'!$D:$D,MATCH("W|"&amp;N44&amp;"|"&amp;IF(OR(J44="はい",K44="はい",L44="無"),"あり","なし"),'判定表'!$A:$A,0)),"判定表にない組み合わせ")))))</f>
        <v/>
      </c>
      <c r="P44" s="22">
        <f>IF(A44="","",IF(C44="","対象外",IF(COUNTIFS('システム'!$A$4:$A$200,C44,'システム'!$N$4:$N$200,"移管")&gt;0,"移管",IF(COUNTIFS('システム'!$A$4:$A$200,C44,'システム'!$N$4:$N$200,"留保")&gt;0,"留保","判定保留"))))</f>
        <v/>
      </c>
      <c r="Q44" s="22">
        <f>IF(A44="","",IF(P44&lt;&gt;"移管","—",IF(N44="","判定保留",IFERROR(INDEX('判定表'!$E:$E,MATCH("W|"&amp;N44&amp;"|なし",'判定表'!$A:$A,0)),"判定表にない回答"))))</f>
        <v/>
      </c>
    </row>
    <row r="45">
      <c r="A45" s="17" t="n"/>
      <c r="B45" s="17" t="n"/>
      <c r="C45" s="17" t="n"/>
      <c r="D45" s="22">
        <f>IF(C45="","",IFERROR(INDEX('システム'!$B:$B,MATCH(C45,'システム'!$A:$A,0)),"システムが未登録"))</f>
        <v/>
      </c>
      <c r="E45" s="17" t="n"/>
      <c r="F45" s="17" t="n"/>
      <c r="G45" s="17" t="n"/>
      <c r="H45" s="43" t="n"/>
      <c r="I45" s="17" t="n"/>
      <c r="J45" s="17" t="n"/>
      <c r="K45" s="17" t="n"/>
      <c r="L45" s="17" t="n"/>
      <c r="M45" s="17" t="n"/>
      <c r="N45" s="17" t="n"/>
      <c r="O45" s="22">
        <f>IF(A45="","",IF(I45&lt;&gt;"済","判定保留",IF(OR(N45="",J45="",K45="",L45="",J45="未確認",K45="未確認"),"判定保留",IF(AND(J45="はい",L45="無"),"入力エラー（GxP対象でSOP無）",IFERROR(INDEX('判定表'!$D:$D,MATCH("W|"&amp;N45&amp;"|"&amp;IF(OR(J45="はい",K45="はい",L45="無"),"あり","なし"),'判定表'!$A:$A,0)),"判定表にない組み合わせ")))))</f>
        <v/>
      </c>
      <c r="P45" s="22">
        <f>IF(A45="","",IF(C45="","対象外",IF(COUNTIFS('システム'!$A$4:$A$200,C45,'システム'!$N$4:$N$200,"移管")&gt;0,"移管",IF(COUNTIFS('システム'!$A$4:$A$200,C45,'システム'!$N$4:$N$200,"留保")&gt;0,"留保","判定保留"))))</f>
        <v/>
      </c>
      <c r="Q45" s="22">
        <f>IF(A45="","",IF(P45&lt;&gt;"移管","—",IF(N45="","判定保留",IFERROR(INDEX('判定表'!$E:$E,MATCH("W|"&amp;N45&amp;"|なし",'判定表'!$A:$A,0)),"判定表にない回答"))))</f>
        <v/>
      </c>
    </row>
    <row r="46">
      <c r="A46" s="17" t="n"/>
      <c r="B46" s="17" t="n"/>
      <c r="C46" s="17" t="n"/>
      <c r="D46" s="22">
        <f>IF(C46="","",IFERROR(INDEX('システム'!$B:$B,MATCH(C46,'システム'!$A:$A,0)),"システムが未登録"))</f>
        <v/>
      </c>
      <c r="E46" s="17" t="n"/>
      <c r="F46" s="17" t="n"/>
      <c r="G46" s="17" t="n"/>
      <c r="H46" s="43" t="n"/>
      <c r="I46" s="17" t="n"/>
      <c r="J46" s="17" t="n"/>
      <c r="K46" s="17" t="n"/>
      <c r="L46" s="17" t="n"/>
      <c r="M46" s="17" t="n"/>
      <c r="N46" s="17" t="n"/>
      <c r="O46" s="22">
        <f>IF(A46="","",IF(I46&lt;&gt;"済","判定保留",IF(OR(N46="",J46="",K46="",L46="",J46="未確認",K46="未確認"),"判定保留",IF(AND(J46="はい",L46="無"),"入力エラー（GxP対象でSOP無）",IFERROR(INDEX('判定表'!$D:$D,MATCH("W|"&amp;N46&amp;"|"&amp;IF(OR(J46="はい",K46="はい",L46="無"),"あり","なし"),'判定表'!$A:$A,0)),"判定表にない組み合わせ")))))</f>
        <v/>
      </c>
      <c r="P46" s="22">
        <f>IF(A46="","",IF(C46="","対象外",IF(COUNTIFS('システム'!$A$4:$A$200,C46,'システム'!$N$4:$N$200,"移管")&gt;0,"移管",IF(COUNTIFS('システム'!$A$4:$A$200,C46,'システム'!$N$4:$N$200,"留保")&gt;0,"留保","判定保留"))))</f>
        <v/>
      </c>
      <c r="Q46" s="22">
        <f>IF(A46="","",IF(P46&lt;&gt;"移管","—",IF(N46="","判定保留",IFERROR(INDEX('判定表'!$E:$E,MATCH("W|"&amp;N46&amp;"|なし",'判定表'!$A:$A,0)),"判定表にない回答"))))</f>
        <v/>
      </c>
    </row>
    <row r="47">
      <c r="A47" s="17" t="n"/>
      <c r="B47" s="17" t="n"/>
      <c r="C47" s="17" t="n"/>
      <c r="D47" s="22">
        <f>IF(C47="","",IFERROR(INDEX('システム'!$B:$B,MATCH(C47,'システム'!$A:$A,0)),"システムが未登録"))</f>
        <v/>
      </c>
      <c r="E47" s="17" t="n"/>
      <c r="F47" s="17" t="n"/>
      <c r="G47" s="17" t="n"/>
      <c r="H47" s="43" t="n"/>
      <c r="I47" s="17" t="n"/>
      <c r="J47" s="17" t="n"/>
      <c r="K47" s="17" t="n"/>
      <c r="L47" s="17" t="n"/>
      <c r="M47" s="17" t="n"/>
      <c r="N47" s="17" t="n"/>
      <c r="O47" s="22">
        <f>IF(A47="","",IF(I47&lt;&gt;"済","判定保留",IF(OR(N47="",J47="",K47="",L47="",J47="未確認",K47="未確認"),"判定保留",IF(AND(J47="はい",L47="無"),"入力エラー（GxP対象でSOP無）",IFERROR(INDEX('判定表'!$D:$D,MATCH("W|"&amp;N47&amp;"|"&amp;IF(OR(J47="はい",K47="はい",L47="無"),"あり","なし"),'判定表'!$A:$A,0)),"判定表にない組み合わせ")))))</f>
        <v/>
      </c>
      <c r="P47" s="22">
        <f>IF(A47="","",IF(C47="","対象外",IF(COUNTIFS('システム'!$A$4:$A$200,C47,'システム'!$N$4:$N$200,"移管")&gt;0,"移管",IF(COUNTIFS('システム'!$A$4:$A$200,C47,'システム'!$N$4:$N$200,"留保")&gt;0,"留保","判定保留"))))</f>
        <v/>
      </c>
      <c r="Q47" s="22">
        <f>IF(A47="","",IF(P47&lt;&gt;"移管","—",IF(N47="","判定保留",IFERROR(INDEX('判定表'!$E:$E,MATCH("W|"&amp;N47&amp;"|なし",'判定表'!$A:$A,0)),"判定表にない回答"))))</f>
        <v/>
      </c>
    </row>
    <row r="48">
      <c r="A48" s="17" t="n"/>
      <c r="B48" s="17" t="n"/>
      <c r="C48" s="17" t="n"/>
      <c r="D48" s="22">
        <f>IF(C48="","",IFERROR(INDEX('システム'!$B:$B,MATCH(C48,'システム'!$A:$A,0)),"システムが未登録"))</f>
        <v/>
      </c>
      <c r="E48" s="17" t="n"/>
      <c r="F48" s="17" t="n"/>
      <c r="G48" s="17" t="n"/>
      <c r="H48" s="43" t="n"/>
      <c r="I48" s="17" t="n"/>
      <c r="J48" s="17" t="n"/>
      <c r="K48" s="17" t="n"/>
      <c r="L48" s="17" t="n"/>
      <c r="M48" s="17" t="n"/>
      <c r="N48" s="17" t="n"/>
      <c r="O48" s="22">
        <f>IF(A48="","",IF(I48&lt;&gt;"済","判定保留",IF(OR(N48="",J48="",K48="",L48="",J48="未確認",K48="未確認"),"判定保留",IF(AND(J48="はい",L48="無"),"入力エラー（GxP対象でSOP無）",IFERROR(INDEX('判定表'!$D:$D,MATCH("W|"&amp;N48&amp;"|"&amp;IF(OR(J48="はい",K48="はい",L48="無"),"あり","なし"),'判定表'!$A:$A,0)),"判定表にない組み合わせ")))))</f>
        <v/>
      </c>
      <c r="P48" s="22">
        <f>IF(A48="","",IF(C48="","対象外",IF(COUNTIFS('システム'!$A$4:$A$200,C48,'システム'!$N$4:$N$200,"移管")&gt;0,"移管",IF(COUNTIFS('システム'!$A$4:$A$200,C48,'システム'!$N$4:$N$200,"留保")&gt;0,"留保","判定保留"))))</f>
        <v/>
      </c>
      <c r="Q48" s="22">
        <f>IF(A48="","",IF(P48&lt;&gt;"移管","—",IF(N48="","判定保留",IFERROR(INDEX('判定表'!$E:$E,MATCH("W|"&amp;N48&amp;"|なし",'判定表'!$A:$A,0)),"判定表にない回答"))))</f>
        <v/>
      </c>
    </row>
    <row r="49">
      <c r="A49" s="17" t="n"/>
      <c r="B49" s="17" t="n"/>
      <c r="C49" s="17" t="n"/>
      <c r="D49" s="22">
        <f>IF(C49="","",IFERROR(INDEX('システム'!$B:$B,MATCH(C49,'システム'!$A:$A,0)),"システムが未登録"))</f>
        <v/>
      </c>
      <c r="E49" s="17" t="n"/>
      <c r="F49" s="17" t="n"/>
      <c r="G49" s="17" t="n"/>
      <c r="H49" s="43" t="n"/>
      <c r="I49" s="17" t="n"/>
      <c r="J49" s="17" t="n"/>
      <c r="K49" s="17" t="n"/>
      <c r="L49" s="17" t="n"/>
      <c r="M49" s="17" t="n"/>
      <c r="N49" s="17" t="n"/>
      <c r="O49" s="22">
        <f>IF(A49="","",IF(I49&lt;&gt;"済","判定保留",IF(OR(N49="",J49="",K49="",L49="",J49="未確認",K49="未確認"),"判定保留",IF(AND(J49="はい",L49="無"),"入力エラー（GxP対象でSOP無）",IFERROR(INDEX('判定表'!$D:$D,MATCH("W|"&amp;N49&amp;"|"&amp;IF(OR(J49="はい",K49="はい",L49="無"),"あり","なし"),'判定表'!$A:$A,0)),"判定表にない組み合わせ")))))</f>
        <v/>
      </c>
      <c r="P49" s="22">
        <f>IF(A49="","",IF(C49="","対象外",IF(COUNTIFS('システム'!$A$4:$A$200,C49,'システム'!$N$4:$N$200,"移管")&gt;0,"移管",IF(COUNTIFS('システム'!$A$4:$A$200,C49,'システム'!$N$4:$N$200,"留保")&gt;0,"留保","判定保留"))))</f>
        <v/>
      </c>
      <c r="Q49" s="22">
        <f>IF(A49="","",IF(P49&lt;&gt;"移管","—",IF(N49="","判定保留",IFERROR(INDEX('判定表'!$E:$E,MATCH("W|"&amp;N49&amp;"|なし",'判定表'!$A:$A,0)),"判定表にない回答"))))</f>
        <v/>
      </c>
    </row>
    <row r="50">
      <c r="A50" s="17" t="n"/>
      <c r="B50" s="17" t="n"/>
      <c r="C50" s="17" t="n"/>
      <c r="D50" s="22">
        <f>IF(C50="","",IFERROR(INDEX('システム'!$B:$B,MATCH(C50,'システム'!$A:$A,0)),"システムが未登録"))</f>
        <v/>
      </c>
      <c r="E50" s="17" t="n"/>
      <c r="F50" s="17" t="n"/>
      <c r="G50" s="17" t="n"/>
      <c r="H50" s="43" t="n"/>
      <c r="I50" s="17" t="n"/>
      <c r="J50" s="17" t="n"/>
      <c r="K50" s="17" t="n"/>
      <c r="L50" s="17" t="n"/>
      <c r="M50" s="17" t="n"/>
      <c r="N50" s="17" t="n"/>
      <c r="O50" s="22">
        <f>IF(A50="","",IF(I50&lt;&gt;"済","判定保留",IF(OR(N50="",J50="",K50="",L50="",J50="未確認",K50="未確認"),"判定保留",IF(AND(J50="はい",L50="無"),"入力エラー（GxP対象でSOP無）",IFERROR(INDEX('判定表'!$D:$D,MATCH("W|"&amp;N50&amp;"|"&amp;IF(OR(J50="はい",K50="はい",L50="無"),"あり","なし"),'判定表'!$A:$A,0)),"判定表にない組み合わせ")))))</f>
        <v/>
      </c>
      <c r="P50" s="22">
        <f>IF(A50="","",IF(C50="","対象外",IF(COUNTIFS('システム'!$A$4:$A$200,C50,'システム'!$N$4:$N$200,"移管")&gt;0,"移管",IF(COUNTIFS('システム'!$A$4:$A$200,C50,'システム'!$N$4:$N$200,"留保")&gt;0,"留保","判定保留"))))</f>
        <v/>
      </c>
      <c r="Q50" s="22">
        <f>IF(A50="","",IF(P50&lt;&gt;"移管","—",IF(N50="","判定保留",IFERROR(INDEX('判定表'!$E:$E,MATCH("W|"&amp;N50&amp;"|なし",'判定表'!$A:$A,0)),"判定表にない回答"))))</f>
        <v/>
      </c>
    </row>
    <row r="51">
      <c r="A51" s="17" t="n"/>
      <c r="B51" s="17" t="n"/>
      <c r="C51" s="17" t="n"/>
      <c r="D51" s="22">
        <f>IF(C51="","",IFERROR(INDEX('システム'!$B:$B,MATCH(C51,'システム'!$A:$A,0)),"システムが未登録"))</f>
        <v/>
      </c>
      <c r="E51" s="17" t="n"/>
      <c r="F51" s="17" t="n"/>
      <c r="G51" s="17" t="n"/>
      <c r="H51" s="43" t="n"/>
      <c r="I51" s="17" t="n"/>
      <c r="J51" s="17" t="n"/>
      <c r="K51" s="17" t="n"/>
      <c r="L51" s="17" t="n"/>
      <c r="M51" s="17" t="n"/>
      <c r="N51" s="17" t="n"/>
      <c r="O51" s="22">
        <f>IF(A51="","",IF(I51&lt;&gt;"済","判定保留",IF(OR(N51="",J51="",K51="",L51="",J51="未確認",K51="未確認"),"判定保留",IF(AND(J51="はい",L51="無"),"入力エラー（GxP対象でSOP無）",IFERROR(INDEX('判定表'!$D:$D,MATCH("W|"&amp;N51&amp;"|"&amp;IF(OR(J51="はい",K51="はい",L51="無"),"あり","なし"),'判定表'!$A:$A,0)),"判定表にない組み合わせ")))))</f>
        <v/>
      </c>
      <c r="P51" s="22">
        <f>IF(A51="","",IF(C51="","対象外",IF(COUNTIFS('システム'!$A$4:$A$200,C51,'システム'!$N$4:$N$200,"移管")&gt;0,"移管",IF(COUNTIFS('システム'!$A$4:$A$200,C51,'システム'!$N$4:$N$200,"留保")&gt;0,"留保","判定保留"))))</f>
        <v/>
      </c>
      <c r="Q51" s="22">
        <f>IF(A51="","",IF(P51&lt;&gt;"移管","—",IF(N51="","判定保留",IFERROR(INDEX('判定表'!$E:$E,MATCH("W|"&amp;N51&amp;"|なし",'判定表'!$A:$A,0)),"判定表にない回答"))))</f>
        <v/>
      </c>
    </row>
    <row r="52">
      <c r="A52" s="17" t="n"/>
      <c r="B52" s="17" t="n"/>
      <c r="C52" s="17" t="n"/>
      <c r="D52" s="22">
        <f>IF(C52="","",IFERROR(INDEX('システム'!$B:$B,MATCH(C52,'システム'!$A:$A,0)),"システムが未登録"))</f>
        <v/>
      </c>
      <c r="E52" s="17" t="n"/>
      <c r="F52" s="17" t="n"/>
      <c r="G52" s="17" t="n"/>
      <c r="H52" s="43" t="n"/>
      <c r="I52" s="17" t="n"/>
      <c r="J52" s="17" t="n"/>
      <c r="K52" s="17" t="n"/>
      <c r="L52" s="17" t="n"/>
      <c r="M52" s="17" t="n"/>
      <c r="N52" s="17" t="n"/>
      <c r="O52" s="22">
        <f>IF(A52="","",IF(I52&lt;&gt;"済","判定保留",IF(OR(N52="",J52="",K52="",L52="",J52="未確認",K52="未確認"),"判定保留",IF(AND(J52="はい",L52="無"),"入力エラー（GxP対象でSOP無）",IFERROR(INDEX('判定表'!$D:$D,MATCH("W|"&amp;N52&amp;"|"&amp;IF(OR(J52="はい",K52="はい",L52="無"),"あり","なし"),'判定表'!$A:$A,0)),"判定表にない組み合わせ")))))</f>
        <v/>
      </c>
      <c r="P52" s="22">
        <f>IF(A52="","",IF(C52="","対象外",IF(COUNTIFS('システム'!$A$4:$A$200,C52,'システム'!$N$4:$N$200,"移管")&gt;0,"移管",IF(COUNTIFS('システム'!$A$4:$A$200,C52,'システム'!$N$4:$N$200,"留保")&gt;0,"留保","判定保留"))))</f>
        <v/>
      </c>
      <c r="Q52" s="22">
        <f>IF(A52="","",IF(P52&lt;&gt;"移管","—",IF(N52="","判定保留",IFERROR(INDEX('判定表'!$E:$E,MATCH("W|"&amp;N52&amp;"|なし",'判定表'!$A:$A,0)),"判定表にない回答"))))</f>
        <v/>
      </c>
    </row>
    <row r="53">
      <c r="A53" s="17" t="n"/>
      <c r="B53" s="17" t="n"/>
      <c r="C53" s="17" t="n"/>
      <c r="D53" s="22">
        <f>IF(C53="","",IFERROR(INDEX('システム'!$B:$B,MATCH(C53,'システム'!$A:$A,0)),"システムが未登録"))</f>
        <v/>
      </c>
      <c r="E53" s="17" t="n"/>
      <c r="F53" s="17" t="n"/>
      <c r="G53" s="17" t="n"/>
      <c r="H53" s="43" t="n"/>
      <c r="I53" s="17" t="n"/>
      <c r="J53" s="17" t="n"/>
      <c r="K53" s="17" t="n"/>
      <c r="L53" s="17" t="n"/>
      <c r="M53" s="17" t="n"/>
      <c r="N53" s="17" t="n"/>
      <c r="O53" s="22">
        <f>IF(A53="","",IF(I53&lt;&gt;"済","判定保留",IF(OR(N53="",J53="",K53="",L53="",J53="未確認",K53="未確認"),"判定保留",IF(AND(J53="はい",L53="無"),"入力エラー（GxP対象でSOP無）",IFERROR(INDEX('判定表'!$D:$D,MATCH("W|"&amp;N53&amp;"|"&amp;IF(OR(J53="はい",K53="はい",L53="無"),"あり","なし"),'判定表'!$A:$A,0)),"判定表にない組み合わせ")))))</f>
        <v/>
      </c>
      <c r="P53" s="22">
        <f>IF(A53="","",IF(C53="","対象外",IF(COUNTIFS('システム'!$A$4:$A$200,C53,'システム'!$N$4:$N$200,"移管")&gt;0,"移管",IF(COUNTIFS('システム'!$A$4:$A$200,C53,'システム'!$N$4:$N$200,"留保")&gt;0,"留保","判定保留"))))</f>
        <v/>
      </c>
      <c r="Q53" s="22">
        <f>IF(A53="","",IF(P53&lt;&gt;"移管","—",IF(N53="","判定保留",IFERROR(INDEX('判定表'!$E:$E,MATCH("W|"&amp;N53&amp;"|なし",'判定表'!$A:$A,0)),"判定表にない回答"))))</f>
        <v/>
      </c>
    </row>
    <row r="54">
      <c r="A54" s="17" t="n"/>
      <c r="B54" s="17" t="n"/>
      <c r="C54" s="17" t="n"/>
      <c r="D54" s="22">
        <f>IF(C54="","",IFERROR(INDEX('システム'!$B:$B,MATCH(C54,'システム'!$A:$A,0)),"システムが未登録"))</f>
        <v/>
      </c>
      <c r="E54" s="17" t="n"/>
      <c r="F54" s="17" t="n"/>
      <c r="G54" s="17" t="n"/>
      <c r="H54" s="43" t="n"/>
      <c r="I54" s="17" t="n"/>
      <c r="J54" s="17" t="n"/>
      <c r="K54" s="17" t="n"/>
      <c r="L54" s="17" t="n"/>
      <c r="M54" s="17" t="n"/>
      <c r="N54" s="17" t="n"/>
      <c r="O54" s="22">
        <f>IF(A54="","",IF(I54&lt;&gt;"済","判定保留",IF(OR(N54="",J54="",K54="",L54="",J54="未確認",K54="未確認"),"判定保留",IF(AND(J54="はい",L54="無"),"入力エラー（GxP対象でSOP無）",IFERROR(INDEX('判定表'!$D:$D,MATCH("W|"&amp;N54&amp;"|"&amp;IF(OR(J54="はい",K54="はい",L54="無"),"あり","なし"),'判定表'!$A:$A,0)),"判定表にない組み合わせ")))))</f>
        <v/>
      </c>
      <c r="P54" s="22">
        <f>IF(A54="","",IF(C54="","対象外",IF(COUNTIFS('システム'!$A$4:$A$200,C54,'システム'!$N$4:$N$200,"移管")&gt;0,"移管",IF(COUNTIFS('システム'!$A$4:$A$200,C54,'システム'!$N$4:$N$200,"留保")&gt;0,"留保","判定保留"))))</f>
        <v/>
      </c>
      <c r="Q54" s="22">
        <f>IF(A54="","",IF(P54&lt;&gt;"移管","—",IF(N54="","判定保留",IFERROR(INDEX('判定表'!$E:$E,MATCH("W|"&amp;N54&amp;"|なし",'判定表'!$A:$A,0)),"判定表にない回答"))))</f>
        <v/>
      </c>
    </row>
    <row r="55">
      <c r="A55" s="17" t="n"/>
      <c r="B55" s="17" t="n"/>
      <c r="C55" s="17" t="n"/>
      <c r="D55" s="22">
        <f>IF(C55="","",IFERROR(INDEX('システム'!$B:$B,MATCH(C55,'システム'!$A:$A,0)),"システムが未登録"))</f>
        <v/>
      </c>
      <c r="E55" s="17" t="n"/>
      <c r="F55" s="17" t="n"/>
      <c r="G55" s="17" t="n"/>
      <c r="H55" s="43" t="n"/>
      <c r="I55" s="17" t="n"/>
      <c r="J55" s="17" t="n"/>
      <c r="K55" s="17" t="n"/>
      <c r="L55" s="17" t="n"/>
      <c r="M55" s="17" t="n"/>
      <c r="N55" s="17" t="n"/>
      <c r="O55" s="22">
        <f>IF(A55="","",IF(I55&lt;&gt;"済","判定保留",IF(OR(N55="",J55="",K55="",L55="",J55="未確認",K55="未確認"),"判定保留",IF(AND(J55="はい",L55="無"),"入力エラー（GxP対象でSOP無）",IFERROR(INDEX('判定表'!$D:$D,MATCH("W|"&amp;N55&amp;"|"&amp;IF(OR(J55="はい",K55="はい",L55="無"),"あり","なし"),'判定表'!$A:$A,0)),"判定表にない組み合わせ")))))</f>
        <v/>
      </c>
      <c r="P55" s="22">
        <f>IF(A55="","",IF(C55="","対象外",IF(COUNTIFS('システム'!$A$4:$A$200,C55,'システム'!$N$4:$N$200,"移管")&gt;0,"移管",IF(COUNTIFS('システム'!$A$4:$A$200,C55,'システム'!$N$4:$N$200,"留保")&gt;0,"留保","判定保留"))))</f>
        <v/>
      </c>
      <c r="Q55" s="22">
        <f>IF(A55="","",IF(P55&lt;&gt;"移管","—",IF(N55="","判定保留",IFERROR(INDEX('判定表'!$E:$E,MATCH("W|"&amp;N55&amp;"|なし",'判定表'!$A:$A,0)),"判定表にない回答"))))</f>
        <v/>
      </c>
    </row>
    <row r="56">
      <c r="A56" s="17" t="n"/>
      <c r="B56" s="17" t="n"/>
      <c r="C56" s="17" t="n"/>
      <c r="D56" s="22">
        <f>IF(C56="","",IFERROR(INDEX('システム'!$B:$B,MATCH(C56,'システム'!$A:$A,0)),"システムが未登録"))</f>
        <v/>
      </c>
      <c r="E56" s="17" t="n"/>
      <c r="F56" s="17" t="n"/>
      <c r="G56" s="17" t="n"/>
      <c r="H56" s="43" t="n"/>
      <c r="I56" s="17" t="n"/>
      <c r="J56" s="17" t="n"/>
      <c r="K56" s="17" t="n"/>
      <c r="L56" s="17" t="n"/>
      <c r="M56" s="17" t="n"/>
      <c r="N56" s="17" t="n"/>
      <c r="O56" s="22">
        <f>IF(A56="","",IF(I56&lt;&gt;"済","判定保留",IF(OR(N56="",J56="",K56="",L56="",J56="未確認",K56="未確認"),"判定保留",IF(AND(J56="はい",L56="無"),"入力エラー（GxP対象でSOP無）",IFERROR(INDEX('判定表'!$D:$D,MATCH("W|"&amp;N56&amp;"|"&amp;IF(OR(J56="はい",K56="はい",L56="無"),"あり","なし"),'判定表'!$A:$A,0)),"判定表にない組み合わせ")))))</f>
        <v/>
      </c>
      <c r="P56" s="22">
        <f>IF(A56="","",IF(C56="","対象外",IF(COUNTIFS('システム'!$A$4:$A$200,C56,'システム'!$N$4:$N$200,"移管")&gt;0,"移管",IF(COUNTIFS('システム'!$A$4:$A$200,C56,'システム'!$N$4:$N$200,"留保")&gt;0,"留保","判定保留"))))</f>
        <v/>
      </c>
      <c r="Q56" s="22">
        <f>IF(A56="","",IF(P56&lt;&gt;"移管","—",IF(N56="","判定保留",IFERROR(INDEX('判定表'!$E:$E,MATCH("W|"&amp;N56&amp;"|なし",'判定表'!$A:$A,0)),"判定表にない回答"))))</f>
        <v/>
      </c>
    </row>
    <row r="57">
      <c r="A57" s="17" t="n"/>
      <c r="B57" s="17" t="n"/>
      <c r="C57" s="17" t="n"/>
      <c r="D57" s="22">
        <f>IF(C57="","",IFERROR(INDEX('システム'!$B:$B,MATCH(C57,'システム'!$A:$A,0)),"システムが未登録"))</f>
        <v/>
      </c>
      <c r="E57" s="17" t="n"/>
      <c r="F57" s="17" t="n"/>
      <c r="G57" s="17" t="n"/>
      <c r="H57" s="43" t="n"/>
      <c r="I57" s="17" t="n"/>
      <c r="J57" s="17" t="n"/>
      <c r="K57" s="17" t="n"/>
      <c r="L57" s="17" t="n"/>
      <c r="M57" s="17" t="n"/>
      <c r="N57" s="17" t="n"/>
      <c r="O57" s="22">
        <f>IF(A57="","",IF(I57&lt;&gt;"済","判定保留",IF(OR(N57="",J57="",K57="",L57="",J57="未確認",K57="未確認"),"判定保留",IF(AND(J57="はい",L57="無"),"入力エラー（GxP対象でSOP無）",IFERROR(INDEX('判定表'!$D:$D,MATCH("W|"&amp;N57&amp;"|"&amp;IF(OR(J57="はい",K57="はい",L57="無"),"あり","なし"),'判定表'!$A:$A,0)),"判定表にない組み合わせ")))))</f>
        <v/>
      </c>
      <c r="P57" s="22">
        <f>IF(A57="","",IF(C57="","対象外",IF(COUNTIFS('システム'!$A$4:$A$200,C57,'システム'!$N$4:$N$200,"移管")&gt;0,"移管",IF(COUNTIFS('システム'!$A$4:$A$200,C57,'システム'!$N$4:$N$200,"留保")&gt;0,"留保","判定保留"))))</f>
        <v/>
      </c>
      <c r="Q57" s="22">
        <f>IF(A57="","",IF(P57&lt;&gt;"移管","—",IF(N57="","判定保留",IFERROR(INDEX('判定表'!$E:$E,MATCH("W|"&amp;N57&amp;"|なし",'判定表'!$A:$A,0)),"判定表にない回答"))))</f>
        <v/>
      </c>
    </row>
    <row r="58">
      <c r="A58" s="17" t="n"/>
      <c r="B58" s="17" t="n"/>
      <c r="C58" s="17" t="n"/>
      <c r="D58" s="22">
        <f>IF(C58="","",IFERROR(INDEX('システム'!$B:$B,MATCH(C58,'システム'!$A:$A,0)),"システムが未登録"))</f>
        <v/>
      </c>
      <c r="E58" s="17" t="n"/>
      <c r="F58" s="17" t="n"/>
      <c r="G58" s="17" t="n"/>
      <c r="H58" s="43" t="n"/>
      <c r="I58" s="17" t="n"/>
      <c r="J58" s="17" t="n"/>
      <c r="K58" s="17" t="n"/>
      <c r="L58" s="17" t="n"/>
      <c r="M58" s="17" t="n"/>
      <c r="N58" s="17" t="n"/>
      <c r="O58" s="22">
        <f>IF(A58="","",IF(I58&lt;&gt;"済","判定保留",IF(OR(N58="",J58="",K58="",L58="",J58="未確認",K58="未確認"),"判定保留",IF(AND(J58="はい",L58="無"),"入力エラー（GxP対象でSOP無）",IFERROR(INDEX('判定表'!$D:$D,MATCH("W|"&amp;N58&amp;"|"&amp;IF(OR(J58="はい",K58="はい",L58="無"),"あり","なし"),'判定表'!$A:$A,0)),"判定表にない組み合わせ")))))</f>
        <v/>
      </c>
      <c r="P58" s="22">
        <f>IF(A58="","",IF(C58="","対象外",IF(COUNTIFS('システム'!$A$4:$A$200,C58,'システム'!$N$4:$N$200,"移管")&gt;0,"移管",IF(COUNTIFS('システム'!$A$4:$A$200,C58,'システム'!$N$4:$N$200,"留保")&gt;0,"留保","判定保留"))))</f>
        <v/>
      </c>
      <c r="Q58" s="22">
        <f>IF(A58="","",IF(P58&lt;&gt;"移管","—",IF(N58="","判定保留",IFERROR(INDEX('判定表'!$E:$E,MATCH("W|"&amp;N58&amp;"|なし",'判定表'!$A:$A,0)),"判定表にない回答"))))</f>
        <v/>
      </c>
    </row>
    <row r="59">
      <c r="A59" s="17" t="n"/>
      <c r="B59" s="17" t="n"/>
      <c r="C59" s="17" t="n"/>
      <c r="D59" s="22">
        <f>IF(C59="","",IFERROR(INDEX('システム'!$B:$B,MATCH(C59,'システム'!$A:$A,0)),"システムが未登録"))</f>
        <v/>
      </c>
      <c r="E59" s="17" t="n"/>
      <c r="F59" s="17" t="n"/>
      <c r="G59" s="17" t="n"/>
      <c r="H59" s="43" t="n"/>
      <c r="I59" s="17" t="n"/>
      <c r="J59" s="17" t="n"/>
      <c r="K59" s="17" t="n"/>
      <c r="L59" s="17" t="n"/>
      <c r="M59" s="17" t="n"/>
      <c r="N59" s="17" t="n"/>
      <c r="O59" s="22">
        <f>IF(A59="","",IF(I59&lt;&gt;"済","判定保留",IF(OR(N59="",J59="",K59="",L59="",J59="未確認",K59="未確認"),"判定保留",IF(AND(J59="はい",L59="無"),"入力エラー（GxP対象でSOP無）",IFERROR(INDEX('判定表'!$D:$D,MATCH("W|"&amp;N59&amp;"|"&amp;IF(OR(J59="はい",K59="はい",L59="無"),"あり","なし"),'判定表'!$A:$A,0)),"判定表にない組み合わせ")))))</f>
        <v/>
      </c>
      <c r="P59" s="22">
        <f>IF(A59="","",IF(C59="","対象外",IF(COUNTIFS('システム'!$A$4:$A$200,C59,'システム'!$N$4:$N$200,"移管")&gt;0,"移管",IF(COUNTIFS('システム'!$A$4:$A$200,C59,'システム'!$N$4:$N$200,"留保")&gt;0,"留保","判定保留"))))</f>
        <v/>
      </c>
      <c r="Q59" s="22">
        <f>IF(A59="","",IF(P59&lt;&gt;"移管","—",IF(N59="","判定保留",IFERROR(INDEX('判定表'!$E:$E,MATCH("W|"&amp;N59&amp;"|なし",'判定表'!$A:$A,0)),"判定表にない回答"))))</f>
        <v/>
      </c>
    </row>
    <row r="60">
      <c r="A60" s="17" t="n"/>
      <c r="B60" s="17" t="n"/>
      <c r="C60" s="17" t="n"/>
      <c r="D60" s="22">
        <f>IF(C60="","",IFERROR(INDEX('システム'!$B:$B,MATCH(C60,'システム'!$A:$A,0)),"システムが未登録"))</f>
        <v/>
      </c>
      <c r="E60" s="17" t="n"/>
      <c r="F60" s="17" t="n"/>
      <c r="G60" s="17" t="n"/>
      <c r="H60" s="43" t="n"/>
      <c r="I60" s="17" t="n"/>
      <c r="J60" s="17" t="n"/>
      <c r="K60" s="17" t="n"/>
      <c r="L60" s="17" t="n"/>
      <c r="M60" s="17" t="n"/>
      <c r="N60" s="17" t="n"/>
      <c r="O60" s="22">
        <f>IF(A60="","",IF(I60&lt;&gt;"済","判定保留",IF(OR(N60="",J60="",K60="",L60="",J60="未確認",K60="未確認"),"判定保留",IF(AND(J60="はい",L60="無"),"入力エラー（GxP対象でSOP無）",IFERROR(INDEX('判定表'!$D:$D,MATCH("W|"&amp;N60&amp;"|"&amp;IF(OR(J60="はい",K60="はい",L60="無"),"あり","なし"),'判定表'!$A:$A,0)),"判定表にない組み合わせ")))))</f>
        <v/>
      </c>
      <c r="P60" s="22">
        <f>IF(A60="","",IF(C60="","対象外",IF(COUNTIFS('システム'!$A$4:$A$200,C60,'システム'!$N$4:$N$200,"移管")&gt;0,"移管",IF(COUNTIFS('システム'!$A$4:$A$200,C60,'システム'!$N$4:$N$200,"留保")&gt;0,"留保","判定保留"))))</f>
        <v/>
      </c>
      <c r="Q60" s="22">
        <f>IF(A60="","",IF(P60&lt;&gt;"移管","—",IF(N60="","判定保留",IFERROR(INDEX('判定表'!$E:$E,MATCH("W|"&amp;N60&amp;"|なし",'判定表'!$A:$A,0)),"判定表にない回答"))))</f>
        <v/>
      </c>
    </row>
    <row r="61">
      <c r="A61" s="17" t="n"/>
      <c r="B61" s="17" t="n"/>
      <c r="C61" s="17" t="n"/>
      <c r="D61" s="22">
        <f>IF(C61="","",IFERROR(INDEX('システム'!$B:$B,MATCH(C61,'システム'!$A:$A,0)),"システムが未登録"))</f>
        <v/>
      </c>
      <c r="E61" s="17" t="n"/>
      <c r="F61" s="17" t="n"/>
      <c r="G61" s="17" t="n"/>
      <c r="H61" s="43" t="n"/>
      <c r="I61" s="17" t="n"/>
      <c r="J61" s="17" t="n"/>
      <c r="K61" s="17" t="n"/>
      <c r="L61" s="17" t="n"/>
      <c r="M61" s="17" t="n"/>
      <c r="N61" s="17" t="n"/>
      <c r="O61" s="22">
        <f>IF(A61="","",IF(I61&lt;&gt;"済","判定保留",IF(OR(N61="",J61="",K61="",L61="",J61="未確認",K61="未確認"),"判定保留",IF(AND(J61="はい",L61="無"),"入力エラー（GxP対象でSOP無）",IFERROR(INDEX('判定表'!$D:$D,MATCH("W|"&amp;N61&amp;"|"&amp;IF(OR(J61="はい",K61="はい",L61="無"),"あり","なし"),'判定表'!$A:$A,0)),"判定表にない組み合わせ")))))</f>
        <v/>
      </c>
      <c r="P61" s="22">
        <f>IF(A61="","",IF(C61="","対象外",IF(COUNTIFS('システム'!$A$4:$A$200,C61,'システム'!$N$4:$N$200,"移管")&gt;0,"移管",IF(COUNTIFS('システム'!$A$4:$A$200,C61,'システム'!$N$4:$N$200,"留保")&gt;0,"留保","判定保留"))))</f>
        <v/>
      </c>
      <c r="Q61" s="22">
        <f>IF(A61="","",IF(P61&lt;&gt;"移管","—",IF(N61="","判定保留",IFERROR(INDEX('判定表'!$E:$E,MATCH("W|"&amp;N61&amp;"|なし",'判定表'!$A:$A,0)),"判定表にない回答"))))</f>
        <v/>
      </c>
    </row>
    <row r="62">
      <c r="A62" s="17" t="n"/>
      <c r="B62" s="17" t="n"/>
      <c r="C62" s="17" t="n"/>
      <c r="D62" s="22">
        <f>IF(C62="","",IFERROR(INDEX('システム'!$B:$B,MATCH(C62,'システム'!$A:$A,0)),"システムが未登録"))</f>
        <v/>
      </c>
      <c r="E62" s="17" t="n"/>
      <c r="F62" s="17" t="n"/>
      <c r="G62" s="17" t="n"/>
      <c r="H62" s="43" t="n"/>
      <c r="I62" s="17" t="n"/>
      <c r="J62" s="17" t="n"/>
      <c r="K62" s="17" t="n"/>
      <c r="L62" s="17" t="n"/>
      <c r="M62" s="17" t="n"/>
      <c r="N62" s="17" t="n"/>
      <c r="O62" s="22">
        <f>IF(A62="","",IF(I62&lt;&gt;"済","判定保留",IF(OR(N62="",J62="",K62="",L62="",J62="未確認",K62="未確認"),"判定保留",IF(AND(J62="はい",L62="無"),"入力エラー（GxP対象でSOP無）",IFERROR(INDEX('判定表'!$D:$D,MATCH("W|"&amp;N62&amp;"|"&amp;IF(OR(J62="はい",K62="はい",L62="無"),"あり","なし"),'判定表'!$A:$A,0)),"判定表にない組み合わせ")))))</f>
        <v/>
      </c>
      <c r="P62" s="22">
        <f>IF(A62="","",IF(C62="","対象外",IF(COUNTIFS('システム'!$A$4:$A$200,C62,'システム'!$N$4:$N$200,"移管")&gt;0,"移管",IF(COUNTIFS('システム'!$A$4:$A$200,C62,'システム'!$N$4:$N$200,"留保")&gt;0,"留保","判定保留"))))</f>
        <v/>
      </c>
      <c r="Q62" s="22">
        <f>IF(A62="","",IF(P62&lt;&gt;"移管","—",IF(N62="","判定保留",IFERROR(INDEX('判定表'!$E:$E,MATCH("W|"&amp;N62&amp;"|なし",'判定表'!$A:$A,0)),"判定表にない回答"))))</f>
        <v/>
      </c>
    </row>
    <row r="63">
      <c r="A63" s="17" t="n"/>
      <c r="B63" s="17" t="n"/>
      <c r="C63" s="17" t="n"/>
      <c r="D63" s="22">
        <f>IF(C63="","",IFERROR(INDEX('システム'!$B:$B,MATCH(C63,'システム'!$A:$A,0)),"システムが未登録"))</f>
        <v/>
      </c>
      <c r="E63" s="17" t="n"/>
      <c r="F63" s="17" t="n"/>
      <c r="G63" s="17" t="n"/>
      <c r="H63" s="43" t="n"/>
      <c r="I63" s="17" t="n"/>
      <c r="J63" s="17" t="n"/>
      <c r="K63" s="17" t="n"/>
      <c r="L63" s="17" t="n"/>
      <c r="M63" s="17" t="n"/>
      <c r="N63" s="17" t="n"/>
      <c r="O63" s="22">
        <f>IF(A63="","",IF(I63&lt;&gt;"済","判定保留",IF(OR(N63="",J63="",K63="",L63="",J63="未確認",K63="未確認"),"判定保留",IF(AND(J63="はい",L63="無"),"入力エラー（GxP対象でSOP無）",IFERROR(INDEX('判定表'!$D:$D,MATCH("W|"&amp;N63&amp;"|"&amp;IF(OR(J63="はい",K63="はい",L63="無"),"あり","なし"),'判定表'!$A:$A,0)),"判定表にない組み合わせ")))))</f>
        <v/>
      </c>
      <c r="P63" s="22">
        <f>IF(A63="","",IF(C63="","対象外",IF(COUNTIFS('システム'!$A$4:$A$200,C63,'システム'!$N$4:$N$200,"移管")&gt;0,"移管",IF(COUNTIFS('システム'!$A$4:$A$200,C63,'システム'!$N$4:$N$200,"留保")&gt;0,"留保","判定保留"))))</f>
        <v/>
      </c>
      <c r="Q63" s="22">
        <f>IF(A63="","",IF(P63&lt;&gt;"移管","—",IF(N63="","判定保留",IFERROR(INDEX('判定表'!$E:$E,MATCH("W|"&amp;N63&amp;"|なし",'判定表'!$A:$A,0)),"判定表にない回答"))))</f>
        <v/>
      </c>
    </row>
    <row r="64">
      <c r="A64" s="17" t="n"/>
      <c r="B64" s="17" t="n"/>
      <c r="C64" s="17" t="n"/>
      <c r="D64" s="22">
        <f>IF(C64="","",IFERROR(INDEX('システム'!$B:$B,MATCH(C64,'システム'!$A:$A,0)),"システムが未登録"))</f>
        <v/>
      </c>
      <c r="E64" s="17" t="n"/>
      <c r="F64" s="17" t="n"/>
      <c r="G64" s="17" t="n"/>
      <c r="H64" s="43" t="n"/>
      <c r="I64" s="17" t="n"/>
      <c r="J64" s="17" t="n"/>
      <c r="K64" s="17" t="n"/>
      <c r="L64" s="17" t="n"/>
      <c r="M64" s="17" t="n"/>
      <c r="N64" s="17" t="n"/>
      <c r="O64" s="22">
        <f>IF(A64="","",IF(I64&lt;&gt;"済","判定保留",IF(OR(N64="",J64="",K64="",L64="",J64="未確認",K64="未確認"),"判定保留",IF(AND(J64="はい",L64="無"),"入力エラー（GxP対象でSOP無）",IFERROR(INDEX('判定表'!$D:$D,MATCH("W|"&amp;N64&amp;"|"&amp;IF(OR(J64="はい",K64="はい",L64="無"),"あり","なし"),'判定表'!$A:$A,0)),"判定表にない組み合わせ")))))</f>
        <v/>
      </c>
      <c r="P64" s="22">
        <f>IF(A64="","",IF(C64="","対象外",IF(COUNTIFS('システム'!$A$4:$A$200,C64,'システム'!$N$4:$N$200,"移管")&gt;0,"移管",IF(COUNTIFS('システム'!$A$4:$A$200,C64,'システム'!$N$4:$N$200,"留保")&gt;0,"留保","判定保留"))))</f>
        <v/>
      </c>
      <c r="Q64" s="22">
        <f>IF(A64="","",IF(P64&lt;&gt;"移管","—",IF(N64="","判定保留",IFERROR(INDEX('判定表'!$E:$E,MATCH("W|"&amp;N64&amp;"|なし",'判定表'!$A:$A,0)),"判定表にない回答"))))</f>
        <v/>
      </c>
    </row>
    <row r="65">
      <c r="A65" s="17" t="n"/>
      <c r="B65" s="17" t="n"/>
      <c r="C65" s="17" t="n"/>
      <c r="D65" s="22">
        <f>IF(C65="","",IFERROR(INDEX('システム'!$B:$B,MATCH(C65,'システム'!$A:$A,0)),"システムが未登録"))</f>
        <v/>
      </c>
      <c r="E65" s="17" t="n"/>
      <c r="F65" s="17" t="n"/>
      <c r="G65" s="17" t="n"/>
      <c r="H65" s="43" t="n"/>
      <c r="I65" s="17" t="n"/>
      <c r="J65" s="17" t="n"/>
      <c r="K65" s="17" t="n"/>
      <c r="L65" s="17" t="n"/>
      <c r="M65" s="17" t="n"/>
      <c r="N65" s="17" t="n"/>
      <c r="O65" s="22">
        <f>IF(A65="","",IF(I65&lt;&gt;"済","判定保留",IF(OR(N65="",J65="",K65="",L65="",J65="未確認",K65="未確認"),"判定保留",IF(AND(J65="はい",L65="無"),"入力エラー（GxP対象でSOP無）",IFERROR(INDEX('判定表'!$D:$D,MATCH("W|"&amp;N65&amp;"|"&amp;IF(OR(J65="はい",K65="はい",L65="無"),"あり","なし"),'判定表'!$A:$A,0)),"判定表にない組み合わせ")))))</f>
        <v/>
      </c>
      <c r="P65" s="22">
        <f>IF(A65="","",IF(C65="","対象外",IF(COUNTIFS('システム'!$A$4:$A$200,C65,'システム'!$N$4:$N$200,"移管")&gt;0,"移管",IF(COUNTIFS('システム'!$A$4:$A$200,C65,'システム'!$N$4:$N$200,"留保")&gt;0,"留保","判定保留"))))</f>
        <v/>
      </c>
      <c r="Q65" s="22">
        <f>IF(A65="","",IF(P65&lt;&gt;"移管","—",IF(N65="","判定保留",IFERROR(INDEX('判定表'!$E:$E,MATCH("W|"&amp;N65&amp;"|なし",'判定表'!$A:$A,0)),"判定表にない回答"))))</f>
        <v/>
      </c>
    </row>
    <row r="66">
      <c r="A66" s="17" t="n"/>
      <c r="B66" s="17" t="n"/>
      <c r="C66" s="17" t="n"/>
      <c r="D66" s="22">
        <f>IF(C66="","",IFERROR(INDEX('システム'!$B:$B,MATCH(C66,'システム'!$A:$A,0)),"システムが未登録"))</f>
        <v/>
      </c>
      <c r="E66" s="17" t="n"/>
      <c r="F66" s="17" t="n"/>
      <c r="G66" s="17" t="n"/>
      <c r="H66" s="43" t="n"/>
      <c r="I66" s="17" t="n"/>
      <c r="J66" s="17" t="n"/>
      <c r="K66" s="17" t="n"/>
      <c r="L66" s="17" t="n"/>
      <c r="M66" s="17" t="n"/>
      <c r="N66" s="17" t="n"/>
      <c r="O66" s="22">
        <f>IF(A66="","",IF(I66&lt;&gt;"済","判定保留",IF(OR(N66="",J66="",K66="",L66="",J66="未確認",K66="未確認"),"判定保留",IF(AND(J66="はい",L66="無"),"入力エラー（GxP対象でSOP無）",IFERROR(INDEX('判定表'!$D:$D,MATCH("W|"&amp;N66&amp;"|"&amp;IF(OR(J66="はい",K66="はい",L66="無"),"あり","なし"),'判定表'!$A:$A,0)),"判定表にない組み合わせ")))))</f>
        <v/>
      </c>
      <c r="P66" s="22">
        <f>IF(A66="","",IF(C66="","対象外",IF(COUNTIFS('システム'!$A$4:$A$200,C66,'システム'!$N$4:$N$200,"移管")&gt;0,"移管",IF(COUNTIFS('システム'!$A$4:$A$200,C66,'システム'!$N$4:$N$200,"留保")&gt;0,"留保","判定保留"))))</f>
        <v/>
      </c>
      <c r="Q66" s="22">
        <f>IF(A66="","",IF(P66&lt;&gt;"移管","—",IF(N66="","判定保留",IFERROR(INDEX('判定表'!$E:$E,MATCH("W|"&amp;N66&amp;"|なし",'判定表'!$A:$A,0)),"判定表にない回答"))))</f>
        <v/>
      </c>
    </row>
    <row r="67">
      <c r="A67" s="17" t="n"/>
      <c r="B67" s="17" t="n"/>
      <c r="C67" s="17" t="n"/>
      <c r="D67" s="22">
        <f>IF(C67="","",IFERROR(INDEX('システム'!$B:$B,MATCH(C67,'システム'!$A:$A,0)),"システムが未登録"))</f>
        <v/>
      </c>
      <c r="E67" s="17" t="n"/>
      <c r="F67" s="17" t="n"/>
      <c r="G67" s="17" t="n"/>
      <c r="H67" s="43" t="n"/>
      <c r="I67" s="17" t="n"/>
      <c r="J67" s="17" t="n"/>
      <c r="K67" s="17" t="n"/>
      <c r="L67" s="17" t="n"/>
      <c r="M67" s="17" t="n"/>
      <c r="N67" s="17" t="n"/>
      <c r="O67" s="22">
        <f>IF(A67="","",IF(I67&lt;&gt;"済","判定保留",IF(OR(N67="",J67="",K67="",L67="",J67="未確認",K67="未確認"),"判定保留",IF(AND(J67="はい",L67="無"),"入力エラー（GxP対象でSOP無）",IFERROR(INDEX('判定表'!$D:$D,MATCH("W|"&amp;N67&amp;"|"&amp;IF(OR(J67="はい",K67="はい",L67="無"),"あり","なし"),'判定表'!$A:$A,0)),"判定表にない組み合わせ")))))</f>
        <v/>
      </c>
      <c r="P67" s="22">
        <f>IF(A67="","",IF(C67="","対象外",IF(COUNTIFS('システム'!$A$4:$A$200,C67,'システム'!$N$4:$N$200,"移管")&gt;0,"移管",IF(COUNTIFS('システム'!$A$4:$A$200,C67,'システム'!$N$4:$N$200,"留保")&gt;0,"留保","判定保留"))))</f>
        <v/>
      </c>
      <c r="Q67" s="22">
        <f>IF(A67="","",IF(P67&lt;&gt;"移管","—",IF(N67="","判定保留",IFERROR(INDEX('判定表'!$E:$E,MATCH("W|"&amp;N67&amp;"|なし",'判定表'!$A:$A,0)),"判定表にない回答"))))</f>
        <v/>
      </c>
    </row>
    <row r="68">
      <c r="A68" s="17" t="n"/>
      <c r="B68" s="17" t="n"/>
      <c r="C68" s="17" t="n"/>
      <c r="D68" s="22">
        <f>IF(C68="","",IFERROR(INDEX('システム'!$B:$B,MATCH(C68,'システム'!$A:$A,0)),"システムが未登録"))</f>
        <v/>
      </c>
      <c r="E68" s="17" t="n"/>
      <c r="F68" s="17" t="n"/>
      <c r="G68" s="17" t="n"/>
      <c r="H68" s="43" t="n"/>
      <c r="I68" s="17" t="n"/>
      <c r="J68" s="17" t="n"/>
      <c r="K68" s="17" t="n"/>
      <c r="L68" s="17" t="n"/>
      <c r="M68" s="17" t="n"/>
      <c r="N68" s="17" t="n"/>
      <c r="O68" s="22">
        <f>IF(A68="","",IF(I68&lt;&gt;"済","判定保留",IF(OR(N68="",J68="",K68="",L68="",J68="未確認",K68="未確認"),"判定保留",IF(AND(J68="はい",L68="無"),"入力エラー（GxP対象でSOP無）",IFERROR(INDEX('判定表'!$D:$D,MATCH("W|"&amp;N68&amp;"|"&amp;IF(OR(J68="はい",K68="はい",L68="無"),"あり","なし"),'判定表'!$A:$A,0)),"判定表にない組み合わせ")))))</f>
        <v/>
      </c>
      <c r="P68" s="22">
        <f>IF(A68="","",IF(C68="","対象外",IF(COUNTIFS('システム'!$A$4:$A$200,C68,'システム'!$N$4:$N$200,"移管")&gt;0,"移管",IF(COUNTIFS('システム'!$A$4:$A$200,C68,'システム'!$N$4:$N$200,"留保")&gt;0,"留保","判定保留"))))</f>
        <v/>
      </c>
      <c r="Q68" s="22">
        <f>IF(A68="","",IF(P68&lt;&gt;"移管","—",IF(N68="","判定保留",IFERROR(INDEX('判定表'!$E:$E,MATCH("W|"&amp;N68&amp;"|なし",'判定表'!$A:$A,0)),"判定表にない回答"))))</f>
        <v/>
      </c>
    </row>
    <row r="69">
      <c r="A69" s="17" t="n"/>
      <c r="B69" s="17" t="n"/>
      <c r="C69" s="17" t="n"/>
      <c r="D69" s="22">
        <f>IF(C69="","",IFERROR(INDEX('システム'!$B:$B,MATCH(C69,'システム'!$A:$A,0)),"システムが未登録"))</f>
        <v/>
      </c>
      <c r="E69" s="17" t="n"/>
      <c r="F69" s="17" t="n"/>
      <c r="G69" s="17" t="n"/>
      <c r="H69" s="43" t="n"/>
      <c r="I69" s="17" t="n"/>
      <c r="J69" s="17" t="n"/>
      <c r="K69" s="17" t="n"/>
      <c r="L69" s="17" t="n"/>
      <c r="M69" s="17" t="n"/>
      <c r="N69" s="17" t="n"/>
      <c r="O69" s="22">
        <f>IF(A69="","",IF(I69&lt;&gt;"済","判定保留",IF(OR(N69="",J69="",K69="",L69="",J69="未確認",K69="未確認"),"判定保留",IF(AND(J69="はい",L69="無"),"入力エラー（GxP対象でSOP無）",IFERROR(INDEX('判定表'!$D:$D,MATCH("W|"&amp;N69&amp;"|"&amp;IF(OR(J69="はい",K69="はい",L69="無"),"あり","なし"),'判定表'!$A:$A,0)),"判定表にない組み合わせ")))))</f>
        <v/>
      </c>
      <c r="P69" s="22">
        <f>IF(A69="","",IF(C69="","対象外",IF(COUNTIFS('システム'!$A$4:$A$200,C69,'システム'!$N$4:$N$200,"移管")&gt;0,"移管",IF(COUNTIFS('システム'!$A$4:$A$200,C69,'システム'!$N$4:$N$200,"留保")&gt;0,"留保","判定保留"))))</f>
        <v/>
      </c>
      <c r="Q69" s="22">
        <f>IF(A69="","",IF(P69&lt;&gt;"移管","—",IF(N69="","判定保留",IFERROR(INDEX('判定表'!$E:$E,MATCH("W|"&amp;N69&amp;"|なし",'判定表'!$A:$A,0)),"判定表にない回答"))))</f>
        <v/>
      </c>
    </row>
    <row r="70">
      <c r="A70" s="17" t="n"/>
      <c r="B70" s="17" t="n"/>
      <c r="C70" s="17" t="n"/>
      <c r="D70" s="22">
        <f>IF(C70="","",IFERROR(INDEX('システム'!$B:$B,MATCH(C70,'システム'!$A:$A,0)),"システムが未登録"))</f>
        <v/>
      </c>
      <c r="E70" s="17" t="n"/>
      <c r="F70" s="17" t="n"/>
      <c r="G70" s="17" t="n"/>
      <c r="H70" s="43" t="n"/>
      <c r="I70" s="17" t="n"/>
      <c r="J70" s="17" t="n"/>
      <c r="K70" s="17" t="n"/>
      <c r="L70" s="17" t="n"/>
      <c r="M70" s="17" t="n"/>
      <c r="N70" s="17" t="n"/>
      <c r="O70" s="22">
        <f>IF(A70="","",IF(I70&lt;&gt;"済","判定保留",IF(OR(N70="",J70="",K70="",L70="",J70="未確認",K70="未確認"),"判定保留",IF(AND(J70="はい",L70="無"),"入力エラー（GxP対象でSOP無）",IFERROR(INDEX('判定表'!$D:$D,MATCH("W|"&amp;N70&amp;"|"&amp;IF(OR(J70="はい",K70="はい",L70="無"),"あり","なし"),'判定表'!$A:$A,0)),"判定表にない組み合わせ")))))</f>
        <v/>
      </c>
      <c r="P70" s="22">
        <f>IF(A70="","",IF(C70="","対象外",IF(COUNTIFS('システム'!$A$4:$A$200,C70,'システム'!$N$4:$N$200,"移管")&gt;0,"移管",IF(COUNTIFS('システム'!$A$4:$A$200,C70,'システム'!$N$4:$N$200,"留保")&gt;0,"留保","判定保留"))))</f>
        <v/>
      </c>
      <c r="Q70" s="22">
        <f>IF(A70="","",IF(P70&lt;&gt;"移管","—",IF(N70="","判定保留",IFERROR(INDEX('判定表'!$E:$E,MATCH("W|"&amp;N70&amp;"|なし",'判定表'!$A:$A,0)),"判定表にない回答"))))</f>
        <v/>
      </c>
    </row>
    <row r="71">
      <c r="A71" s="17" t="n"/>
      <c r="B71" s="17" t="n"/>
      <c r="C71" s="17" t="n"/>
      <c r="D71" s="22">
        <f>IF(C71="","",IFERROR(INDEX('システム'!$B:$B,MATCH(C71,'システム'!$A:$A,0)),"システムが未登録"))</f>
        <v/>
      </c>
      <c r="E71" s="17" t="n"/>
      <c r="F71" s="17" t="n"/>
      <c r="G71" s="17" t="n"/>
      <c r="H71" s="43" t="n"/>
      <c r="I71" s="17" t="n"/>
      <c r="J71" s="17" t="n"/>
      <c r="K71" s="17" t="n"/>
      <c r="L71" s="17" t="n"/>
      <c r="M71" s="17" t="n"/>
      <c r="N71" s="17" t="n"/>
      <c r="O71" s="22">
        <f>IF(A71="","",IF(I71&lt;&gt;"済","判定保留",IF(OR(N71="",J71="",K71="",L71="",J71="未確認",K71="未確認"),"判定保留",IF(AND(J71="はい",L71="無"),"入力エラー（GxP対象でSOP無）",IFERROR(INDEX('判定表'!$D:$D,MATCH("W|"&amp;N71&amp;"|"&amp;IF(OR(J71="はい",K71="はい",L71="無"),"あり","なし"),'判定表'!$A:$A,0)),"判定表にない組み合わせ")))))</f>
        <v/>
      </c>
      <c r="P71" s="22">
        <f>IF(A71="","",IF(C71="","対象外",IF(COUNTIFS('システム'!$A$4:$A$200,C71,'システム'!$N$4:$N$200,"移管")&gt;0,"移管",IF(COUNTIFS('システム'!$A$4:$A$200,C71,'システム'!$N$4:$N$200,"留保")&gt;0,"留保","判定保留"))))</f>
        <v/>
      </c>
      <c r="Q71" s="22">
        <f>IF(A71="","",IF(P71&lt;&gt;"移管","—",IF(N71="","判定保留",IFERROR(INDEX('判定表'!$E:$E,MATCH("W|"&amp;N71&amp;"|なし",'判定表'!$A:$A,0)),"判定表にない回答"))))</f>
        <v/>
      </c>
    </row>
    <row r="72">
      <c r="A72" s="17" t="n"/>
      <c r="B72" s="17" t="n"/>
      <c r="C72" s="17" t="n"/>
      <c r="D72" s="22">
        <f>IF(C72="","",IFERROR(INDEX('システム'!$B:$B,MATCH(C72,'システム'!$A:$A,0)),"システムが未登録"))</f>
        <v/>
      </c>
      <c r="E72" s="17" t="n"/>
      <c r="F72" s="17" t="n"/>
      <c r="G72" s="17" t="n"/>
      <c r="H72" s="43" t="n"/>
      <c r="I72" s="17" t="n"/>
      <c r="J72" s="17" t="n"/>
      <c r="K72" s="17" t="n"/>
      <c r="L72" s="17" t="n"/>
      <c r="M72" s="17" t="n"/>
      <c r="N72" s="17" t="n"/>
      <c r="O72" s="22">
        <f>IF(A72="","",IF(I72&lt;&gt;"済","判定保留",IF(OR(N72="",J72="",K72="",L72="",J72="未確認",K72="未確認"),"判定保留",IF(AND(J72="はい",L72="無"),"入力エラー（GxP対象でSOP無）",IFERROR(INDEX('判定表'!$D:$D,MATCH("W|"&amp;N72&amp;"|"&amp;IF(OR(J72="はい",K72="はい",L72="無"),"あり","なし"),'判定表'!$A:$A,0)),"判定表にない組み合わせ")))))</f>
        <v/>
      </c>
      <c r="P72" s="22">
        <f>IF(A72="","",IF(C72="","対象外",IF(COUNTIFS('システム'!$A$4:$A$200,C72,'システム'!$N$4:$N$200,"移管")&gt;0,"移管",IF(COUNTIFS('システム'!$A$4:$A$200,C72,'システム'!$N$4:$N$200,"留保")&gt;0,"留保","判定保留"))))</f>
        <v/>
      </c>
      <c r="Q72" s="22">
        <f>IF(A72="","",IF(P72&lt;&gt;"移管","—",IF(N72="","判定保留",IFERROR(INDEX('判定表'!$E:$E,MATCH("W|"&amp;N72&amp;"|なし",'判定表'!$A:$A,0)),"判定表にない回答"))))</f>
        <v/>
      </c>
    </row>
    <row r="73">
      <c r="A73" s="17" t="n"/>
      <c r="B73" s="17" t="n"/>
      <c r="C73" s="17" t="n"/>
      <c r="D73" s="22">
        <f>IF(C73="","",IFERROR(INDEX('システム'!$B:$B,MATCH(C73,'システム'!$A:$A,0)),"システムが未登録"))</f>
        <v/>
      </c>
      <c r="E73" s="17" t="n"/>
      <c r="F73" s="17" t="n"/>
      <c r="G73" s="17" t="n"/>
      <c r="H73" s="43" t="n"/>
      <c r="I73" s="17" t="n"/>
      <c r="J73" s="17" t="n"/>
      <c r="K73" s="17" t="n"/>
      <c r="L73" s="17" t="n"/>
      <c r="M73" s="17" t="n"/>
      <c r="N73" s="17" t="n"/>
      <c r="O73" s="22">
        <f>IF(A73="","",IF(I73&lt;&gt;"済","判定保留",IF(OR(N73="",J73="",K73="",L73="",J73="未確認",K73="未確認"),"判定保留",IF(AND(J73="はい",L73="無"),"入力エラー（GxP対象でSOP無）",IFERROR(INDEX('判定表'!$D:$D,MATCH("W|"&amp;N73&amp;"|"&amp;IF(OR(J73="はい",K73="はい",L73="無"),"あり","なし"),'判定表'!$A:$A,0)),"判定表にない組み合わせ")))))</f>
        <v/>
      </c>
      <c r="P73" s="22">
        <f>IF(A73="","",IF(C73="","対象外",IF(COUNTIFS('システム'!$A$4:$A$200,C73,'システム'!$N$4:$N$200,"移管")&gt;0,"移管",IF(COUNTIFS('システム'!$A$4:$A$200,C73,'システム'!$N$4:$N$200,"留保")&gt;0,"留保","判定保留"))))</f>
        <v/>
      </c>
      <c r="Q73" s="22">
        <f>IF(A73="","",IF(P73&lt;&gt;"移管","—",IF(N73="","判定保留",IFERROR(INDEX('判定表'!$E:$E,MATCH("W|"&amp;N73&amp;"|なし",'判定表'!$A:$A,0)),"判定表にない回答"))))</f>
        <v/>
      </c>
    </row>
    <row r="74">
      <c r="A74" s="17" t="n"/>
      <c r="B74" s="17" t="n"/>
      <c r="C74" s="17" t="n"/>
      <c r="D74" s="22">
        <f>IF(C74="","",IFERROR(INDEX('システム'!$B:$B,MATCH(C74,'システム'!$A:$A,0)),"システムが未登録"))</f>
        <v/>
      </c>
      <c r="E74" s="17" t="n"/>
      <c r="F74" s="17" t="n"/>
      <c r="G74" s="17" t="n"/>
      <c r="H74" s="43" t="n"/>
      <c r="I74" s="17" t="n"/>
      <c r="J74" s="17" t="n"/>
      <c r="K74" s="17" t="n"/>
      <c r="L74" s="17" t="n"/>
      <c r="M74" s="17" t="n"/>
      <c r="N74" s="17" t="n"/>
      <c r="O74" s="22">
        <f>IF(A74="","",IF(I74&lt;&gt;"済","判定保留",IF(OR(N74="",J74="",K74="",L74="",J74="未確認",K74="未確認"),"判定保留",IF(AND(J74="はい",L74="無"),"入力エラー（GxP対象でSOP無）",IFERROR(INDEX('判定表'!$D:$D,MATCH("W|"&amp;N74&amp;"|"&amp;IF(OR(J74="はい",K74="はい",L74="無"),"あり","なし"),'判定表'!$A:$A,0)),"判定表にない組み合わせ")))))</f>
        <v/>
      </c>
      <c r="P74" s="22">
        <f>IF(A74="","",IF(C74="","対象外",IF(COUNTIFS('システム'!$A$4:$A$200,C74,'システム'!$N$4:$N$200,"移管")&gt;0,"移管",IF(COUNTIFS('システム'!$A$4:$A$200,C74,'システム'!$N$4:$N$200,"留保")&gt;0,"留保","判定保留"))))</f>
        <v/>
      </c>
      <c r="Q74" s="22">
        <f>IF(A74="","",IF(P74&lt;&gt;"移管","—",IF(N74="","判定保留",IFERROR(INDEX('判定表'!$E:$E,MATCH("W|"&amp;N74&amp;"|なし",'判定表'!$A:$A,0)),"判定表にない回答"))))</f>
        <v/>
      </c>
    </row>
    <row r="75">
      <c r="A75" s="17" t="n"/>
      <c r="B75" s="17" t="n"/>
      <c r="C75" s="17" t="n"/>
      <c r="D75" s="22">
        <f>IF(C75="","",IFERROR(INDEX('システム'!$B:$B,MATCH(C75,'システム'!$A:$A,0)),"システムが未登録"))</f>
        <v/>
      </c>
      <c r="E75" s="17" t="n"/>
      <c r="F75" s="17" t="n"/>
      <c r="G75" s="17" t="n"/>
      <c r="H75" s="43" t="n"/>
      <c r="I75" s="17" t="n"/>
      <c r="J75" s="17" t="n"/>
      <c r="K75" s="17" t="n"/>
      <c r="L75" s="17" t="n"/>
      <c r="M75" s="17" t="n"/>
      <c r="N75" s="17" t="n"/>
      <c r="O75" s="22">
        <f>IF(A75="","",IF(I75&lt;&gt;"済","判定保留",IF(OR(N75="",J75="",K75="",L75="",J75="未確認",K75="未確認"),"判定保留",IF(AND(J75="はい",L75="無"),"入力エラー（GxP対象でSOP無）",IFERROR(INDEX('判定表'!$D:$D,MATCH("W|"&amp;N75&amp;"|"&amp;IF(OR(J75="はい",K75="はい",L75="無"),"あり","なし"),'判定表'!$A:$A,0)),"判定表にない組み合わせ")))))</f>
        <v/>
      </c>
      <c r="P75" s="22">
        <f>IF(A75="","",IF(C75="","対象外",IF(COUNTIFS('システム'!$A$4:$A$200,C75,'システム'!$N$4:$N$200,"移管")&gt;0,"移管",IF(COUNTIFS('システム'!$A$4:$A$200,C75,'システム'!$N$4:$N$200,"留保")&gt;0,"留保","判定保留"))))</f>
        <v/>
      </c>
      <c r="Q75" s="22">
        <f>IF(A75="","",IF(P75&lt;&gt;"移管","—",IF(N75="","判定保留",IFERROR(INDEX('判定表'!$E:$E,MATCH("W|"&amp;N75&amp;"|なし",'判定表'!$A:$A,0)),"判定表にない回答"))))</f>
        <v/>
      </c>
    </row>
    <row r="76">
      <c r="A76" s="17" t="n"/>
      <c r="B76" s="17" t="n"/>
      <c r="C76" s="17" t="n"/>
      <c r="D76" s="22">
        <f>IF(C76="","",IFERROR(INDEX('システム'!$B:$B,MATCH(C76,'システム'!$A:$A,0)),"システムが未登録"))</f>
        <v/>
      </c>
      <c r="E76" s="17" t="n"/>
      <c r="F76" s="17" t="n"/>
      <c r="G76" s="17" t="n"/>
      <c r="H76" s="43" t="n"/>
      <c r="I76" s="17" t="n"/>
      <c r="J76" s="17" t="n"/>
      <c r="K76" s="17" t="n"/>
      <c r="L76" s="17" t="n"/>
      <c r="M76" s="17" t="n"/>
      <c r="N76" s="17" t="n"/>
      <c r="O76" s="22">
        <f>IF(A76="","",IF(I76&lt;&gt;"済","判定保留",IF(OR(N76="",J76="",K76="",L76="",J76="未確認",K76="未確認"),"判定保留",IF(AND(J76="はい",L76="無"),"入力エラー（GxP対象でSOP無）",IFERROR(INDEX('判定表'!$D:$D,MATCH("W|"&amp;N76&amp;"|"&amp;IF(OR(J76="はい",K76="はい",L76="無"),"あり","なし"),'判定表'!$A:$A,0)),"判定表にない組み合わせ")))))</f>
        <v/>
      </c>
      <c r="P76" s="22">
        <f>IF(A76="","",IF(C76="","対象外",IF(COUNTIFS('システム'!$A$4:$A$200,C76,'システム'!$N$4:$N$200,"移管")&gt;0,"移管",IF(COUNTIFS('システム'!$A$4:$A$200,C76,'システム'!$N$4:$N$200,"留保")&gt;0,"留保","判定保留"))))</f>
        <v/>
      </c>
      <c r="Q76" s="22">
        <f>IF(A76="","",IF(P76&lt;&gt;"移管","—",IF(N76="","判定保留",IFERROR(INDEX('判定表'!$E:$E,MATCH("W|"&amp;N76&amp;"|なし",'判定表'!$A:$A,0)),"判定表にない回答"))))</f>
        <v/>
      </c>
    </row>
    <row r="77">
      <c r="A77" s="17" t="n"/>
      <c r="B77" s="17" t="n"/>
      <c r="C77" s="17" t="n"/>
      <c r="D77" s="22">
        <f>IF(C77="","",IFERROR(INDEX('システム'!$B:$B,MATCH(C77,'システム'!$A:$A,0)),"システムが未登録"))</f>
        <v/>
      </c>
      <c r="E77" s="17" t="n"/>
      <c r="F77" s="17" t="n"/>
      <c r="G77" s="17" t="n"/>
      <c r="H77" s="43" t="n"/>
      <c r="I77" s="17" t="n"/>
      <c r="J77" s="17" t="n"/>
      <c r="K77" s="17" t="n"/>
      <c r="L77" s="17" t="n"/>
      <c r="M77" s="17" t="n"/>
      <c r="N77" s="17" t="n"/>
      <c r="O77" s="22">
        <f>IF(A77="","",IF(I77&lt;&gt;"済","判定保留",IF(OR(N77="",J77="",K77="",L77="",J77="未確認",K77="未確認"),"判定保留",IF(AND(J77="はい",L77="無"),"入力エラー（GxP対象でSOP無）",IFERROR(INDEX('判定表'!$D:$D,MATCH("W|"&amp;N77&amp;"|"&amp;IF(OR(J77="はい",K77="はい",L77="無"),"あり","なし"),'判定表'!$A:$A,0)),"判定表にない組み合わせ")))))</f>
        <v/>
      </c>
      <c r="P77" s="22">
        <f>IF(A77="","",IF(C77="","対象外",IF(COUNTIFS('システム'!$A$4:$A$200,C77,'システム'!$N$4:$N$200,"移管")&gt;0,"移管",IF(COUNTIFS('システム'!$A$4:$A$200,C77,'システム'!$N$4:$N$200,"留保")&gt;0,"留保","判定保留"))))</f>
        <v/>
      </c>
      <c r="Q77" s="22">
        <f>IF(A77="","",IF(P77&lt;&gt;"移管","—",IF(N77="","判定保留",IFERROR(INDEX('判定表'!$E:$E,MATCH("W|"&amp;N77&amp;"|なし",'判定表'!$A:$A,0)),"判定表にない回答"))))</f>
        <v/>
      </c>
    </row>
    <row r="78">
      <c r="A78" s="17" t="n"/>
      <c r="B78" s="17" t="n"/>
      <c r="C78" s="17" t="n"/>
      <c r="D78" s="22">
        <f>IF(C78="","",IFERROR(INDEX('システム'!$B:$B,MATCH(C78,'システム'!$A:$A,0)),"システムが未登録"))</f>
        <v/>
      </c>
      <c r="E78" s="17" t="n"/>
      <c r="F78" s="17" t="n"/>
      <c r="G78" s="17" t="n"/>
      <c r="H78" s="43" t="n"/>
      <c r="I78" s="17" t="n"/>
      <c r="J78" s="17" t="n"/>
      <c r="K78" s="17" t="n"/>
      <c r="L78" s="17" t="n"/>
      <c r="M78" s="17" t="n"/>
      <c r="N78" s="17" t="n"/>
      <c r="O78" s="22">
        <f>IF(A78="","",IF(I78&lt;&gt;"済","判定保留",IF(OR(N78="",J78="",K78="",L78="",J78="未確認",K78="未確認"),"判定保留",IF(AND(J78="はい",L78="無"),"入力エラー（GxP対象でSOP無）",IFERROR(INDEX('判定表'!$D:$D,MATCH("W|"&amp;N78&amp;"|"&amp;IF(OR(J78="はい",K78="はい",L78="無"),"あり","なし"),'判定表'!$A:$A,0)),"判定表にない組み合わせ")))))</f>
        <v/>
      </c>
      <c r="P78" s="22">
        <f>IF(A78="","",IF(C78="","対象外",IF(COUNTIFS('システム'!$A$4:$A$200,C78,'システム'!$N$4:$N$200,"移管")&gt;0,"移管",IF(COUNTIFS('システム'!$A$4:$A$200,C78,'システム'!$N$4:$N$200,"留保")&gt;0,"留保","判定保留"))))</f>
        <v/>
      </c>
      <c r="Q78" s="22">
        <f>IF(A78="","",IF(P78&lt;&gt;"移管","—",IF(N78="","判定保留",IFERROR(INDEX('判定表'!$E:$E,MATCH("W|"&amp;N78&amp;"|なし",'判定表'!$A:$A,0)),"判定表にない回答"))))</f>
        <v/>
      </c>
    </row>
    <row r="79">
      <c r="A79" s="17" t="n"/>
      <c r="B79" s="17" t="n"/>
      <c r="C79" s="17" t="n"/>
      <c r="D79" s="22">
        <f>IF(C79="","",IFERROR(INDEX('システム'!$B:$B,MATCH(C79,'システム'!$A:$A,0)),"システムが未登録"))</f>
        <v/>
      </c>
      <c r="E79" s="17" t="n"/>
      <c r="F79" s="17" t="n"/>
      <c r="G79" s="17" t="n"/>
      <c r="H79" s="43" t="n"/>
      <c r="I79" s="17" t="n"/>
      <c r="J79" s="17" t="n"/>
      <c r="K79" s="17" t="n"/>
      <c r="L79" s="17" t="n"/>
      <c r="M79" s="17" t="n"/>
      <c r="N79" s="17" t="n"/>
      <c r="O79" s="22">
        <f>IF(A79="","",IF(I79&lt;&gt;"済","判定保留",IF(OR(N79="",J79="",K79="",L79="",J79="未確認",K79="未確認"),"判定保留",IF(AND(J79="はい",L79="無"),"入力エラー（GxP対象でSOP無）",IFERROR(INDEX('判定表'!$D:$D,MATCH("W|"&amp;N79&amp;"|"&amp;IF(OR(J79="はい",K79="はい",L79="無"),"あり","なし"),'判定表'!$A:$A,0)),"判定表にない組み合わせ")))))</f>
        <v/>
      </c>
      <c r="P79" s="22">
        <f>IF(A79="","",IF(C79="","対象外",IF(COUNTIFS('システム'!$A$4:$A$200,C79,'システム'!$N$4:$N$200,"移管")&gt;0,"移管",IF(COUNTIFS('システム'!$A$4:$A$200,C79,'システム'!$N$4:$N$200,"留保")&gt;0,"留保","判定保留"))))</f>
        <v/>
      </c>
      <c r="Q79" s="22">
        <f>IF(A79="","",IF(P79&lt;&gt;"移管","—",IF(N79="","判定保留",IFERROR(INDEX('判定表'!$E:$E,MATCH("W|"&amp;N79&amp;"|なし",'判定表'!$A:$A,0)),"判定表にない回答"))))</f>
        <v/>
      </c>
    </row>
    <row r="80">
      <c r="A80" s="17" t="n"/>
      <c r="B80" s="17" t="n"/>
      <c r="C80" s="17" t="n"/>
      <c r="D80" s="22">
        <f>IF(C80="","",IFERROR(INDEX('システム'!$B:$B,MATCH(C80,'システム'!$A:$A,0)),"システムが未登録"))</f>
        <v/>
      </c>
      <c r="E80" s="17" t="n"/>
      <c r="F80" s="17" t="n"/>
      <c r="G80" s="17" t="n"/>
      <c r="H80" s="43" t="n"/>
      <c r="I80" s="17" t="n"/>
      <c r="J80" s="17" t="n"/>
      <c r="K80" s="17" t="n"/>
      <c r="L80" s="17" t="n"/>
      <c r="M80" s="17" t="n"/>
      <c r="N80" s="17" t="n"/>
      <c r="O80" s="22">
        <f>IF(A80="","",IF(I80&lt;&gt;"済","判定保留",IF(OR(N80="",J80="",K80="",L80="",J80="未確認",K80="未確認"),"判定保留",IF(AND(J80="はい",L80="無"),"入力エラー（GxP対象でSOP無）",IFERROR(INDEX('判定表'!$D:$D,MATCH("W|"&amp;N80&amp;"|"&amp;IF(OR(J80="はい",K80="はい",L80="無"),"あり","なし"),'判定表'!$A:$A,0)),"判定表にない組み合わせ")))))</f>
        <v/>
      </c>
      <c r="P80" s="22">
        <f>IF(A80="","",IF(C80="","対象外",IF(COUNTIFS('システム'!$A$4:$A$200,C80,'システム'!$N$4:$N$200,"移管")&gt;0,"移管",IF(COUNTIFS('システム'!$A$4:$A$200,C80,'システム'!$N$4:$N$200,"留保")&gt;0,"留保","判定保留"))))</f>
        <v/>
      </c>
      <c r="Q80" s="22">
        <f>IF(A80="","",IF(P80&lt;&gt;"移管","—",IF(N80="","判定保留",IFERROR(INDEX('判定表'!$E:$E,MATCH("W|"&amp;N80&amp;"|なし",'判定表'!$A:$A,0)),"判定表にない回答"))))</f>
        <v/>
      </c>
    </row>
    <row r="81">
      <c r="A81" s="17" t="n"/>
      <c r="B81" s="17" t="n"/>
      <c r="C81" s="17" t="n"/>
      <c r="D81" s="22">
        <f>IF(C81="","",IFERROR(INDEX('システム'!$B:$B,MATCH(C81,'システム'!$A:$A,0)),"システムが未登録"))</f>
        <v/>
      </c>
      <c r="E81" s="17" t="n"/>
      <c r="F81" s="17" t="n"/>
      <c r="G81" s="17" t="n"/>
      <c r="H81" s="43" t="n"/>
      <c r="I81" s="17" t="n"/>
      <c r="J81" s="17" t="n"/>
      <c r="K81" s="17" t="n"/>
      <c r="L81" s="17" t="n"/>
      <c r="M81" s="17" t="n"/>
      <c r="N81" s="17" t="n"/>
      <c r="O81" s="22">
        <f>IF(A81="","",IF(I81&lt;&gt;"済","判定保留",IF(OR(N81="",J81="",K81="",L81="",J81="未確認",K81="未確認"),"判定保留",IF(AND(J81="はい",L81="無"),"入力エラー（GxP対象でSOP無）",IFERROR(INDEX('判定表'!$D:$D,MATCH("W|"&amp;N81&amp;"|"&amp;IF(OR(J81="はい",K81="はい",L81="無"),"あり","なし"),'判定表'!$A:$A,0)),"判定表にない組み合わせ")))))</f>
        <v/>
      </c>
      <c r="P81" s="22">
        <f>IF(A81="","",IF(C81="","対象外",IF(COUNTIFS('システム'!$A$4:$A$200,C81,'システム'!$N$4:$N$200,"移管")&gt;0,"移管",IF(COUNTIFS('システム'!$A$4:$A$200,C81,'システム'!$N$4:$N$200,"留保")&gt;0,"留保","判定保留"))))</f>
        <v/>
      </c>
      <c r="Q81" s="22">
        <f>IF(A81="","",IF(P81&lt;&gt;"移管","—",IF(N81="","判定保留",IFERROR(INDEX('判定表'!$E:$E,MATCH("W|"&amp;N81&amp;"|なし",'判定表'!$A:$A,0)),"判定表にない回答"))))</f>
        <v/>
      </c>
    </row>
    <row r="82">
      <c r="A82" s="17" t="n"/>
      <c r="B82" s="17" t="n"/>
      <c r="C82" s="17" t="n"/>
      <c r="D82" s="22">
        <f>IF(C82="","",IFERROR(INDEX('システム'!$B:$B,MATCH(C82,'システム'!$A:$A,0)),"システムが未登録"))</f>
        <v/>
      </c>
      <c r="E82" s="17" t="n"/>
      <c r="F82" s="17" t="n"/>
      <c r="G82" s="17" t="n"/>
      <c r="H82" s="43" t="n"/>
      <c r="I82" s="17" t="n"/>
      <c r="J82" s="17" t="n"/>
      <c r="K82" s="17" t="n"/>
      <c r="L82" s="17" t="n"/>
      <c r="M82" s="17" t="n"/>
      <c r="N82" s="17" t="n"/>
      <c r="O82" s="22">
        <f>IF(A82="","",IF(I82&lt;&gt;"済","判定保留",IF(OR(N82="",J82="",K82="",L82="",J82="未確認",K82="未確認"),"判定保留",IF(AND(J82="はい",L82="無"),"入力エラー（GxP対象でSOP無）",IFERROR(INDEX('判定表'!$D:$D,MATCH("W|"&amp;N82&amp;"|"&amp;IF(OR(J82="はい",K82="はい",L82="無"),"あり","なし"),'判定表'!$A:$A,0)),"判定表にない組み合わせ")))))</f>
        <v/>
      </c>
      <c r="P82" s="22">
        <f>IF(A82="","",IF(C82="","対象外",IF(COUNTIFS('システム'!$A$4:$A$200,C82,'システム'!$N$4:$N$200,"移管")&gt;0,"移管",IF(COUNTIFS('システム'!$A$4:$A$200,C82,'システム'!$N$4:$N$200,"留保")&gt;0,"留保","判定保留"))))</f>
        <v/>
      </c>
      <c r="Q82" s="22">
        <f>IF(A82="","",IF(P82&lt;&gt;"移管","—",IF(N82="","判定保留",IFERROR(INDEX('判定表'!$E:$E,MATCH("W|"&amp;N82&amp;"|なし",'判定表'!$A:$A,0)),"判定表にない回答"))))</f>
        <v/>
      </c>
    </row>
    <row r="83">
      <c r="A83" s="17" t="n"/>
      <c r="B83" s="17" t="n"/>
      <c r="C83" s="17" t="n"/>
      <c r="D83" s="22">
        <f>IF(C83="","",IFERROR(INDEX('システム'!$B:$B,MATCH(C83,'システム'!$A:$A,0)),"システムが未登録"))</f>
        <v/>
      </c>
      <c r="E83" s="17" t="n"/>
      <c r="F83" s="17" t="n"/>
      <c r="G83" s="17" t="n"/>
      <c r="H83" s="43" t="n"/>
      <c r="I83" s="17" t="n"/>
      <c r="J83" s="17" t="n"/>
      <c r="K83" s="17" t="n"/>
      <c r="L83" s="17" t="n"/>
      <c r="M83" s="17" t="n"/>
      <c r="N83" s="17" t="n"/>
      <c r="O83" s="22">
        <f>IF(A83="","",IF(I83&lt;&gt;"済","判定保留",IF(OR(N83="",J83="",K83="",L83="",J83="未確認",K83="未確認"),"判定保留",IF(AND(J83="はい",L83="無"),"入力エラー（GxP対象でSOP無）",IFERROR(INDEX('判定表'!$D:$D,MATCH("W|"&amp;N83&amp;"|"&amp;IF(OR(J83="はい",K83="はい",L83="無"),"あり","なし"),'判定表'!$A:$A,0)),"判定表にない組み合わせ")))))</f>
        <v/>
      </c>
      <c r="P83" s="22">
        <f>IF(A83="","",IF(C83="","対象外",IF(COUNTIFS('システム'!$A$4:$A$200,C83,'システム'!$N$4:$N$200,"移管")&gt;0,"移管",IF(COUNTIFS('システム'!$A$4:$A$200,C83,'システム'!$N$4:$N$200,"留保")&gt;0,"留保","判定保留"))))</f>
        <v/>
      </c>
      <c r="Q83" s="22">
        <f>IF(A83="","",IF(P83&lt;&gt;"移管","—",IF(N83="","判定保留",IFERROR(INDEX('判定表'!$E:$E,MATCH("W|"&amp;N83&amp;"|なし",'判定表'!$A:$A,0)),"判定表にない回答"))))</f>
        <v/>
      </c>
    </row>
    <row r="84">
      <c r="A84" s="17" t="n"/>
      <c r="B84" s="17" t="n"/>
      <c r="C84" s="17" t="n"/>
      <c r="D84" s="22">
        <f>IF(C84="","",IFERROR(INDEX('システム'!$B:$B,MATCH(C84,'システム'!$A:$A,0)),"システムが未登録"))</f>
        <v/>
      </c>
      <c r="E84" s="17" t="n"/>
      <c r="F84" s="17" t="n"/>
      <c r="G84" s="17" t="n"/>
      <c r="H84" s="43" t="n"/>
      <c r="I84" s="17" t="n"/>
      <c r="J84" s="17" t="n"/>
      <c r="K84" s="17" t="n"/>
      <c r="L84" s="17" t="n"/>
      <c r="M84" s="17" t="n"/>
      <c r="N84" s="17" t="n"/>
      <c r="O84" s="22">
        <f>IF(A84="","",IF(I84&lt;&gt;"済","判定保留",IF(OR(N84="",J84="",K84="",L84="",J84="未確認",K84="未確認"),"判定保留",IF(AND(J84="はい",L84="無"),"入力エラー（GxP対象でSOP無）",IFERROR(INDEX('判定表'!$D:$D,MATCH("W|"&amp;N84&amp;"|"&amp;IF(OR(J84="はい",K84="はい",L84="無"),"あり","なし"),'判定表'!$A:$A,0)),"判定表にない組み合わせ")))))</f>
        <v/>
      </c>
      <c r="P84" s="22">
        <f>IF(A84="","",IF(C84="","対象外",IF(COUNTIFS('システム'!$A$4:$A$200,C84,'システム'!$N$4:$N$200,"移管")&gt;0,"移管",IF(COUNTIFS('システム'!$A$4:$A$200,C84,'システム'!$N$4:$N$200,"留保")&gt;0,"留保","判定保留"))))</f>
        <v/>
      </c>
      <c r="Q84" s="22">
        <f>IF(A84="","",IF(P84&lt;&gt;"移管","—",IF(N84="","判定保留",IFERROR(INDEX('判定表'!$E:$E,MATCH("W|"&amp;N84&amp;"|なし",'判定表'!$A:$A,0)),"判定表にない回答"))))</f>
        <v/>
      </c>
    </row>
    <row r="85">
      <c r="A85" s="17" t="n"/>
      <c r="B85" s="17" t="n"/>
      <c r="C85" s="17" t="n"/>
      <c r="D85" s="22">
        <f>IF(C85="","",IFERROR(INDEX('システム'!$B:$B,MATCH(C85,'システム'!$A:$A,0)),"システムが未登録"))</f>
        <v/>
      </c>
      <c r="E85" s="17" t="n"/>
      <c r="F85" s="17" t="n"/>
      <c r="G85" s="17" t="n"/>
      <c r="H85" s="43" t="n"/>
      <c r="I85" s="17" t="n"/>
      <c r="J85" s="17" t="n"/>
      <c r="K85" s="17" t="n"/>
      <c r="L85" s="17" t="n"/>
      <c r="M85" s="17" t="n"/>
      <c r="N85" s="17" t="n"/>
      <c r="O85" s="22">
        <f>IF(A85="","",IF(I85&lt;&gt;"済","判定保留",IF(OR(N85="",J85="",K85="",L85="",J85="未確認",K85="未確認"),"判定保留",IF(AND(J85="はい",L85="無"),"入力エラー（GxP対象でSOP無）",IFERROR(INDEX('判定表'!$D:$D,MATCH("W|"&amp;N85&amp;"|"&amp;IF(OR(J85="はい",K85="はい",L85="無"),"あり","なし"),'判定表'!$A:$A,0)),"判定表にない組み合わせ")))))</f>
        <v/>
      </c>
      <c r="P85" s="22">
        <f>IF(A85="","",IF(C85="","対象外",IF(COUNTIFS('システム'!$A$4:$A$200,C85,'システム'!$N$4:$N$200,"移管")&gt;0,"移管",IF(COUNTIFS('システム'!$A$4:$A$200,C85,'システム'!$N$4:$N$200,"留保")&gt;0,"留保","判定保留"))))</f>
        <v/>
      </c>
      <c r="Q85" s="22">
        <f>IF(A85="","",IF(P85&lt;&gt;"移管","—",IF(N85="","判定保留",IFERROR(INDEX('判定表'!$E:$E,MATCH("W|"&amp;N85&amp;"|なし",'判定表'!$A:$A,0)),"判定表にない回答"))))</f>
        <v/>
      </c>
    </row>
    <row r="86">
      <c r="A86" s="17" t="n"/>
      <c r="B86" s="17" t="n"/>
      <c r="C86" s="17" t="n"/>
      <c r="D86" s="22">
        <f>IF(C86="","",IFERROR(INDEX('システム'!$B:$B,MATCH(C86,'システム'!$A:$A,0)),"システムが未登録"))</f>
        <v/>
      </c>
      <c r="E86" s="17" t="n"/>
      <c r="F86" s="17" t="n"/>
      <c r="G86" s="17" t="n"/>
      <c r="H86" s="43" t="n"/>
      <c r="I86" s="17" t="n"/>
      <c r="J86" s="17" t="n"/>
      <c r="K86" s="17" t="n"/>
      <c r="L86" s="17" t="n"/>
      <c r="M86" s="17" t="n"/>
      <c r="N86" s="17" t="n"/>
      <c r="O86" s="22">
        <f>IF(A86="","",IF(I86&lt;&gt;"済","判定保留",IF(OR(N86="",J86="",K86="",L86="",J86="未確認",K86="未確認"),"判定保留",IF(AND(J86="はい",L86="無"),"入力エラー（GxP対象でSOP無）",IFERROR(INDEX('判定表'!$D:$D,MATCH("W|"&amp;N86&amp;"|"&amp;IF(OR(J86="はい",K86="はい",L86="無"),"あり","なし"),'判定表'!$A:$A,0)),"判定表にない組み合わせ")))))</f>
        <v/>
      </c>
      <c r="P86" s="22">
        <f>IF(A86="","",IF(C86="","対象外",IF(COUNTIFS('システム'!$A$4:$A$200,C86,'システム'!$N$4:$N$200,"移管")&gt;0,"移管",IF(COUNTIFS('システム'!$A$4:$A$200,C86,'システム'!$N$4:$N$200,"留保")&gt;0,"留保","判定保留"))))</f>
        <v/>
      </c>
      <c r="Q86" s="22">
        <f>IF(A86="","",IF(P86&lt;&gt;"移管","—",IF(N86="","判定保留",IFERROR(INDEX('判定表'!$E:$E,MATCH("W|"&amp;N86&amp;"|なし",'判定表'!$A:$A,0)),"判定表にない回答"))))</f>
        <v/>
      </c>
    </row>
    <row r="87">
      <c r="A87" s="17" t="n"/>
      <c r="B87" s="17" t="n"/>
      <c r="C87" s="17" t="n"/>
      <c r="D87" s="22">
        <f>IF(C87="","",IFERROR(INDEX('システム'!$B:$B,MATCH(C87,'システム'!$A:$A,0)),"システムが未登録"))</f>
        <v/>
      </c>
      <c r="E87" s="17" t="n"/>
      <c r="F87" s="17" t="n"/>
      <c r="G87" s="17" t="n"/>
      <c r="H87" s="43" t="n"/>
      <c r="I87" s="17" t="n"/>
      <c r="J87" s="17" t="n"/>
      <c r="K87" s="17" t="n"/>
      <c r="L87" s="17" t="n"/>
      <c r="M87" s="17" t="n"/>
      <c r="N87" s="17" t="n"/>
      <c r="O87" s="22">
        <f>IF(A87="","",IF(I87&lt;&gt;"済","判定保留",IF(OR(N87="",J87="",K87="",L87="",J87="未確認",K87="未確認"),"判定保留",IF(AND(J87="はい",L87="無"),"入力エラー（GxP対象でSOP無）",IFERROR(INDEX('判定表'!$D:$D,MATCH("W|"&amp;N87&amp;"|"&amp;IF(OR(J87="はい",K87="はい",L87="無"),"あり","なし"),'判定表'!$A:$A,0)),"判定表にない組み合わせ")))))</f>
        <v/>
      </c>
      <c r="P87" s="22">
        <f>IF(A87="","",IF(C87="","対象外",IF(COUNTIFS('システム'!$A$4:$A$200,C87,'システム'!$N$4:$N$200,"移管")&gt;0,"移管",IF(COUNTIFS('システム'!$A$4:$A$200,C87,'システム'!$N$4:$N$200,"留保")&gt;0,"留保","判定保留"))))</f>
        <v/>
      </c>
      <c r="Q87" s="22">
        <f>IF(A87="","",IF(P87&lt;&gt;"移管","—",IF(N87="","判定保留",IFERROR(INDEX('判定表'!$E:$E,MATCH("W|"&amp;N87&amp;"|なし",'判定表'!$A:$A,0)),"判定表にない回答"))))</f>
        <v/>
      </c>
    </row>
    <row r="88">
      <c r="A88" s="17" t="n"/>
      <c r="B88" s="17" t="n"/>
      <c r="C88" s="17" t="n"/>
      <c r="D88" s="22">
        <f>IF(C88="","",IFERROR(INDEX('システム'!$B:$B,MATCH(C88,'システム'!$A:$A,0)),"システムが未登録"))</f>
        <v/>
      </c>
      <c r="E88" s="17" t="n"/>
      <c r="F88" s="17" t="n"/>
      <c r="G88" s="17" t="n"/>
      <c r="H88" s="43" t="n"/>
      <c r="I88" s="17" t="n"/>
      <c r="J88" s="17" t="n"/>
      <c r="K88" s="17" t="n"/>
      <c r="L88" s="17" t="n"/>
      <c r="M88" s="17" t="n"/>
      <c r="N88" s="17" t="n"/>
      <c r="O88" s="22">
        <f>IF(A88="","",IF(I88&lt;&gt;"済","判定保留",IF(OR(N88="",J88="",K88="",L88="",J88="未確認",K88="未確認"),"判定保留",IF(AND(J88="はい",L88="無"),"入力エラー（GxP対象でSOP無）",IFERROR(INDEX('判定表'!$D:$D,MATCH("W|"&amp;N88&amp;"|"&amp;IF(OR(J88="はい",K88="はい",L88="無"),"あり","なし"),'判定表'!$A:$A,0)),"判定表にない組み合わせ")))))</f>
        <v/>
      </c>
      <c r="P88" s="22">
        <f>IF(A88="","",IF(C88="","対象外",IF(COUNTIFS('システム'!$A$4:$A$200,C88,'システム'!$N$4:$N$200,"移管")&gt;0,"移管",IF(COUNTIFS('システム'!$A$4:$A$200,C88,'システム'!$N$4:$N$200,"留保")&gt;0,"留保","判定保留"))))</f>
        <v/>
      </c>
      <c r="Q88" s="22">
        <f>IF(A88="","",IF(P88&lt;&gt;"移管","—",IF(N88="","判定保留",IFERROR(INDEX('判定表'!$E:$E,MATCH("W|"&amp;N88&amp;"|なし",'判定表'!$A:$A,0)),"判定表にない回答"))))</f>
        <v/>
      </c>
    </row>
    <row r="89">
      <c r="A89" s="17" t="n"/>
      <c r="B89" s="17" t="n"/>
      <c r="C89" s="17" t="n"/>
      <c r="D89" s="22">
        <f>IF(C89="","",IFERROR(INDEX('システム'!$B:$B,MATCH(C89,'システム'!$A:$A,0)),"システムが未登録"))</f>
        <v/>
      </c>
      <c r="E89" s="17" t="n"/>
      <c r="F89" s="17" t="n"/>
      <c r="G89" s="17" t="n"/>
      <c r="H89" s="43" t="n"/>
      <c r="I89" s="17" t="n"/>
      <c r="J89" s="17" t="n"/>
      <c r="K89" s="17" t="n"/>
      <c r="L89" s="17" t="n"/>
      <c r="M89" s="17" t="n"/>
      <c r="N89" s="17" t="n"/>
      <c r="O89" s="22">
        <f>IF(A89="","",IF(I89&lt;&gt;"済","判定保留",IF(OR(N89="",J89="",K89="",L89="",J89="未確認",K89="未確認"),"判定保留",IF(AND(J89="はい",L89="無"),"入力エラー（GxP対象でSOP無）",IFERROR(INDEX('判定表'!$D:$D,MATCH("W|"&amp;N89&amp;"|"&amp;IF(OR(J89="はい",K89="はい",L89="無"),"あり","なし"),'判定表'!$A:$A,0)),"判定表にない組み合わせ")))))</f>
        <v/>
      </c>
      <c r="P89" s="22">
        <f>IF(A89="","",IF(C89="","対象外",IF(COUNTIFS('システム'!$A$4:$A$200,C89,'システム'!$N$4:$N$200,"移管")&gt;0,"移管",IF(COUNTIFS('システム'!$A$4:$A$200,C89,'システム'!$N$4:$N$200,"留保")&gt;0,"留保","判定保留"))))</f>
        <v/>
      </c>
      <c r="Q89" s="22">
        <f>IF(A89="","",IF(P89&lt;&gt;"移管","—",IF(N89="","判定保留",IFERROR(INDEX('判定表'!$E:$E,MATCH("W|"&amp;N89&amp;"|なし",'判定表'!$A:$A,0)),"判定表にない回答"))))</f>
        <v/>
      </c>
    </row>
    <row r="90">
      <c r="A90" s="17" t="n"/>
      <c r="B90" s="17" t="n"/>
      <c r="C90" s="17" t="n"/>
      <c r="D90" s="22">
        <f>IF(C90="","",IFERROR(INDEX('システム'!$B:$B,MATCH(C90,'システム'!$A:$A,0)),"システムが未登録"))</f>
        <v/>
      </c>
      <c r="E90" s="17" t="n"/>
      <c r="F90" s="17" t="n"/>
      <c r="G90" s="17" t="n"/>
      <c r="H90" s="43" t="n"/>
      <c r="I90" s="17" t="n"/>
      <c r="J90" s="17" t="n"/>
      <c r="K90" s="17" t="n"/>
      <c r="L90" s="17" t="n"/>
      <c r="M90" s="17" t="n"/>
      <c r="N90" s="17" t="n"/>
      <c r="O90" s="22">
        <f>IF(A90="","",IF(I90&lt;&gt;"済","判定保留",IF(OR(N90="",J90="",K90="",L90="",J90="未確認",K90="未確認"),"判定保留",IF(AND(J90="はい",L90="無"),"入力エラー（GxP対象でSOP無）",IFERROR(INDEX('判定表'!$D:$D,MATCH("W|"&amp;N90&amp;"|"&amp;IF(OR(J90="はい",K90="はい",L90="無"),"あり","なし"),'判定表'!$A:$A,0)),"判定表にない組み合わせ")))))</f>
        <v/>
      </c>
      <c r="P90" s="22">
        <f>IF(A90="","",IF(C90="","対象外",IF(COUNTIFS('システム'!$A$4:$A$200,C90,'システム'!$N$4:$N$200,"移管")&gt;0,"移管",IF(COUNTIFS('システム'!$A$4:$A$200,C90,'システム'!$N$4:$N$200,"留保")&gt;0,"留保","判定保留"))))</f>
        <v/>
      </c>
      <c r="Q90" s="22">
        <f>IF(A90="","",IF(P90&lt;&gt;"移管","—",IF(N90="","判定保留",IFERROR(INDEX('判定表'!$E:$E,MATCH("W|"&amp;N90&amp;"|なし",'判定表'!$A:$A,0)),"判定表にない回答"))))</f>
        <v/>
      </c>
    </row>
    <row r="91">
      <c r="A91" s="17" t="n"/>
      <c r="B91" s="17" t="n"/>
      <c r="C91" s="17" t="n"/>
      <c r="D91" s="22">
        <f>IF(C91="","",IFERROR(INDEX('システム'!$B:$B,MATCH(C91,'システム'!$A:$A,0)),"システムが未登録"))</f>
        <v/>
      </c>
      <c r="E91" s="17" t="n"/>
      <c r="F91" s="17" t="n"/>
      <c r="G91" s="17" t="n"/>
      <c r="H91" s="43" t="n"/>
      <c r="I91" s="17" t="n"/>
      <c r="J91" s="17" t="n"/>
      <c r="K91" s="17" t="n"/>
      <c r="L91" s="17" t="n"/>
      <c r="M91" s="17" t="n"/>
      <c r="N91" s="17" t="n"/>
      <c r="O91" s="22">
        <f>IF(A91="","",IF(I91&lt;&gt;"済","判定保留",IF(OR(N91="",J91="",K91="",L91="",J91="未確認",K91="未確認"),"判定保留",IF(AND(J91="はい",L91="無"),"入力エラー（GxP対象でSOP無）",IFERROR(INDEX('判定表'!$D:$D,MATCH("W|"&amp;N91&amp;"|"&amp;IF(OR(J91="はい",K91="はい",L91="無"),"あり","なし"),'判定表'!$A:$A,0)),"判定表にない組み合わせ")))))</f>
        <v/>
      </c>
      <c r="P91" s="22">
        <f>IF(A91="","",IF(C91="","対象外",IF(COUNTIFS('システム'!$A$4:$A$200,C91,'システム'!$N$4:$N$200,"移管")&gt;0,"移管",IF(COUNTIFS('システム'!$A$4:$A$200,C91,'システム'!$N$4:$N$200,"留保")&gt;0,"留保","判定保留"))))</f>
        <v/>
      </c>
      <c r="Q91" s="22">
        <f>IF(A91="","",IF(P91&lt;&gt;"移管","—",IF(N91="","判定保留",IFERROR(INDEX('判定表'!$E:$E,MATCH("W|"&amp;N91&amp;"|なし",'判定表'!$A:$A,0)),"判定表にない回答"))))</f>
        <v/>
      </c>
    </row>
    <row r="92">
      <c r="A92" s="17" t="n"/>
      <c r="B92" s="17" t="n"/>
      <c r="C92" s="17" t="n"/>
      <c r="D92" s="22">
        <f>IF(C92="","",IFERROR(INDEX('システム'!$B:$B,MATCH(C92,'システム'!$A:$A,0)),"システムが未登録"))</f>
        <v/>
      </c>
      <c r="E92" s="17" t="n"/>
      <c r="F92" s="17" t="n"/>
      <c r="G92" s="17" t="n"/>
      <c r="H92" s="43" t="n"/>
      <c r="I92" s="17" t="n"/>
      <c r="J92" s="17" t="n"/>
      <c r="K92" s="17" t="n"/>
      <c r="L92" s="17" t="n"/>
      <c r="M92" s="17" t="n"/>
      <c r="N92" s="17" t="n"/>
      <c r="O92" s="22">
        <f>IF(A92="","",IF(I92&lt;&gt;"済","判定保留",IF(OR(N92="",J92="",K92="",L92="",J92="未確認",K92="未確認"),"判定保留",IF(AND(J92="はい",L92="無"),"入力エラー（GxP対象でSOP無）",IFERROR(INDEX('判定表'!$D:$D,MATCH("W|"&amp;N92&amp;"|"&amp;IF(OR(J92="はい",K92="はい",L92="無"),"あり","なし"),'判定表'!$A:$A,0)),"判定表にない組み合わせ")))))</f>
        <v/>
      </c>
      <c r="P92" s="22">
        <f>IF(A92="","",IF(C92="","対象外",IF(COUNTIFS('システム'!$A$4:$A$200,C92,'システム'!$N$4:$N$200,"移管")&gt;0,"移管",IF(COUNTIFS('システム'!$A$4:$A$200,C92,'システム'!$N$4:$N$200,"留保")&gt;0,"留保","判定保留"))))</f>
        <v/>
      </c>
      <c r="Q92" s="22">
        <f>IF(A92="","",IF(P92&lt;&gt;"移管","—",IF(N92="","判定保留",IFERROR(INDEX('判定表'!$E:$E,MATCH("W|"&amp;N92&amp;"|なし",'判定表'!$A:$A,0)),"判定表にない回答"))))</f>
        <v/>
      </c>
    </row>
    <row r="93">
      <c r="A93" s="17" t="n"/>
      <c r="B93" s="17" t="n"/>
      <c r="C93" s="17" t="n"/>
      <c r="D93" s="22">
        <f>IF(C93="","",IFERROR(INDEX('システム'!$B:$B,MATCH(C93,'システム'!$A:$A,0)),"システムが未登録"))</f>
        <v/>
      </c>
      <c r="E93" s="17" t="n"/>
      <c r="F93" s="17" t="n"/>
      <c r="G93" s="17" t="n"/>
      <c r="H93" s="43" t="n"/>
      <c r="I93" s="17" t="n"/>
      <c r="J93" s="17" t="n"/>
      <c r="K93" s="17" t="n"/>
      <c r="L93" s="17" t="n"/>
      <c r="M93" s="17" t="n"/>
      <c r="N93" s="17" t="n"/>
      <c r="O93" s="22">
        <f>IF(A93="","",IF(I93&lt;&gt;"済","判定保留",IF(OR(N93="",J93="",K93="",L93="",J93="未確認",K93="未確認"),"判定保留",IF(AND(J93="はい",L93="無"),"入力エラー（GxP対象でSOP無）",IFERROR(INDEX('判定表'!$D:$D,MATCH("W|"&amp;N93&amp;"|"&amp;IF(OR(J93="はい",K93="はい",L93="無"),"あり","なし"),'判定表'!$A:$A,0)),"判定表にない組み合わせ")))))</f>
        <v/>
      </c>
      <c r="P93" s="22">
        <f>IF(A93="","",IF(C93="","対象外",IF(COUNTIFS('システム'!$A$4:$A$200,C93,'システム'!$N$4:$N$200,"移管")&gt;0,"移管",IF(COUNTIFS('システム'!$A$4:$A$200,C93,'システム'!$N$4:$N$200,"留保")&gt;0,"留保","判定保留"))))</f>
        <v/>
      </c>
      <c r="Q93" s="22">
        <f>IF(A93="","",IF(P93&lt;&gt;"移管","—",IF(N93="","判定保留",IFERROR(INDEX('判定表'!$E:$E,MATCH("W|"&amp;N93&amp;"|なし",'判定表'!$A:$A,0)),"判定表にない回答"))))</f>
        <v/>
      </c>
    </row>
    <row r="94">
      <c r="A94" s="17" t="n"/>
      <c r="B94" s="17" t="n"/>
      <c r="C94" s="17" t="n"/>
      <c r="D94" s="22">
        <f>IF(C94="","",IFERROR(INDEX('システム'!$B:$B,MATCH(C94,'システム'!$A:$A,0)),"システムが未登録"))</f>
        <v/>
      </c>
      <c r="E94" s="17" t="n"/>
      <c r="F94" s="17" t="n"/>
      <c r="G94" s="17" t="n"/>
      <c r="H94" s="43" t="n"/>
      <c r="I94" s="17" t="n"/>
      <c r="J94" s="17" t="n"/>
      <c r="K94" s="17" t="n"/>
      <c r="L94" s="17" t="n"/>
      <c r="M94" s="17" t="n"/>
      <c r="N94" s="17" t="n"/>
      <c r="O94" s="22">
        <f>IF(A94="","",IF(I94&lt;&gt;"済","判定保留",IF(OR(N94="",J94="",K94="",L94="",J94="未確認",K94="未確認"),"判定保留",IF(AND(J94="はい",L94="無"),"入力エラー（GxP対象でSOP無）",IFERROR(INDEX('判定表'!$D:$D,MATCH("W|"&amp;N94&amp;"|"&amp;IF(OR(J94="はい",K94="はい",L94="無"),"あり","なし"),'判定表'!$A:$A,0)),"判定表にない組み合わせ")))))</f>
        <v/>
      </c>
      <c r="P94" s="22">
        <f>IF(A94="","",IF(C94="","対象外",IF(COUNTIFS('システム'!$A$4:$A$200,C94,'システム'!$N$4:$N$200,"移管")&gt;0,"移管",IF(COUNTIFS('システム'!$A$4:$A$200,C94,'システム'!$N$4:$N$200,"留保")&gt;0,"留保","判定保留"))))</f>
        <v/>
      </c>
      <c r="Q94" s="22">
        <f>IF(A94="","",IF(P94&lt;&gt;"移管","—",IF(N94="","判定保留",IFERROR(INDEX('判定表'!$E:$E,MATCH("W|"&amp;N94&amp;"|なし",'判定表'!$A:$A,0)),"判定表にない回答"))))</f>
        <v/>
      </c>
    </row>
    <row r="95">
      <c r="A95" s="17" t="n"/>
      <c r="B95" s="17" t="n"/>
      <c r="C95" s="17" t="n"/>
      <c r="D95" s="22">
        <f>IF(C95="","",IFERROR(INDEX('システム'!$B:$B,MATCH(C95,'システム'!$A:$A,0)),"システムが未登録"))</f>
        <v/>
      </c>
      <c r="E95" s="17" t="n"/>
      <c r="F95" s="17" t="n"/>
      <c r="G95" s="17" t="n"/>
      <c r="H95" s="43" t="n"/>
      <c r="I95" s="17" t="n"/>
      <c r="J95" s="17" t="n"/>
      <c r="K95" s="17" t="n"/>
      <c r="L95" s="17" t="n"/>
      <c r="M95" s="17" t="n"/>
      <c r="N95" s="17" t="n"/>
      <c r="O95" s="22">
        <f>IF(A95="","",IF(I95&lt;&gt;"済","判定保留",IF(OR(N95="",J95="",K95="",L95="",J95="未確認",K95="未確認"),"判定保留",IF(AND(J95="はい",L95="無"),"入力エラー（GxP対象でSOP無）",IFERROR(INDEX('判定表'!$D:$D,MATCH("W|"&amp;N95&amp;"|"&amp;IF(OR(J95="はい",K95="はい",L95="無"),"あり","なし"),'判定表'!$A:$A,0)),"判定表にない組み合わせ")))))</f>
        <v/>
      </c>
      <c r="P95" s="22">
        <f>IF(A95="","",IF(C95="","対象外",IF(COUNTIFS('システム'!$A$4:$A$200,C95,'システム'!$N$4:$N$200,"移管")&gt;0,"移管",IF(COUNTIFS('システム'!$A$4:$A$200,C95,'システム'!$N$4:$N$200,"留保")&gt;0,"留保","判定保留"))))</f>
        <v/>
      </c>
      <c r="Q95" s="22">
        <f>IF(A95="","",IF(P95&lt;&gt;"移管","—",IF(N95="","判定保留",IFERROR(INDEX('判定表'!$E:$E,MATCH("W|"&amp;N95&amp;"|なし",'判定表'!$A:$A,0)),"判定表にない回答"))))</f>
        <v/>
      </c>
    </row>
    <row r="96">
      <c r="A96" s="17" t="n"/>
      <c r="B96" s="17" t="n"/>
      <c r="C96" s="17" t="n"/>
      <c r="D96" s="22">
        <f>IF(C96="","",IFERROR(INDEX('システム'!$B:$B,MATCH(C96,'システム'!$A:$A,0)),"システムが未登録"))</f>
        <v/>
      </c>
      <c r="E96" s="17" t="n"/>
      <c r="F96" s="17" t="n"/>
      <c r="G96" s="17" t="n"/>
      <c r="H96" s="43" t="n"/>
      <c r="I96" s="17" t="n"/>
      <c r="J96" s="17" t="n"/>
      <c r="K96" s="17" t="n"/>
      <c r="L96" s="17" t="n"/>
      <c r="M96" s="17" t="n"/>
      <c r="N96" s="17" t="n"/>
      <c r="O96" s="22">
        <f>IF(A96="","",IF(I96&lt;&gt;"済","判定保留",IF(OR(N96="",J96="",K96="",L96="",J96="未確認",K96="未確認"),"判定保留",IF(AND(J96="はい",L96="無"),"入力エラー（GxP対象でSOP無）",IFERROR(INDEX('判定表'!$D:$D,MATCH("W|"&amp;N96&amp;"|"&amp;IF(OR(J96="はい",K96="はい",L96="無"),"あり","なし"),'判定表'!$A:$A,0)),"判定表にない組み合わせ")))))</f>
        <v/>
      </c>
      <c r="P96" s="22">
        <f>IF(A96="","",IF(C96="","対象外",IF(COUNTIFS('システム'!$A$4:$A$200,C96,'システム'!$N$4:$N$200,"移管")&gt;0,"移管",IF(COUNTIFS('システム'!$A$4:$A$200,C96,'システム'!$N$4:$N$200,"留保")&gt;0,"留保","判定保留"))))</f>
        <v/>
      </c>
      <c r="Q96" s="22">
        <f>IF(A96="","",IF(P96&lt;&gt;"移管","—",IF(N96="","判定保留",IFERROR(INDEX('判定表'!$E:$E,MATCH("W|"&amp;N96&amp;"|なし",'判定表'!$A:$A,0)),"判定表にない回答"))))</f>
        <v/>
      </c>
    </row>
    <row r="97">
      <c r="A97" s="17" t="n"/>
      <c r="B97" s="17" t="n"/>
      <c r="C97" s="17" t="n"/>
      <c r="D97" s="22">
        <f>IF(C97="","",IFERROR(INDEX('システム'!$B:$B,MATCH(C97,'システム'!$A:$A,0)),"システムが未登録"))</f>
        <v/>
      </c>
      <c r="E97" s="17" t="n"/>
      <c r="F97" s="17" t="n"/>
      <c r="G97" s="17" t="n"/>
      <c r="H97" s="43" t="n"/>
      <c r="I97" s="17" t="n"/>
      <c r="J97" s="17" t="n"/>
      <c r="K97" s="17" t="n"/>
      <c r="L97" s="17" t="n"/>
      <c r="M97" s="17" t="n"/>
      <c r="N97" s="17" t="n"/>
      <c r="O97" s="22">
        <f>IF(A97="","",IF(I97&lt;&gt;"済","判定保留",IF(OR(N97="",J97="",K97="",L97="",J97="未確認",K97="未確認"),"判定保留",IF(AND(J97="はい",L97="無"),"入力エラー（GxP対象でSOP無）",IFERROR(INDEX('判定表'!$D:$D,MATCH("W|"&amp;N97&amp;"|"&amp;IF(OR(J97="はい",K97="はい",L97="無"),"あり","なし"),'判定表'!$A:$A,0)),"判定表にない組み合わせ")))))</f>
        <v/>
      </c>
      <c r="P97" s="22">
        <f>IF(A97="","",IF(C97="","対象外",IF(COUNTIFS('システム'!$A$4:$A$200,C97,'システム'!$N$4:$N$200,"移管")&gt;0,"移管",IF(COUNTIFS('システム'!$A$4:$A$200,C97,'システム'!$N$4:$N$200,"留保")&gt;0,"留保","判定保留"))))</f>
        <v/>
      </c>
      <c r="Q97" s="22">
        <f>IF(A97="","",IF(P97&lt;&gt;"移管","—",IF(N97="","判定保留",IFERROR(INDEX('判定表'!$E:$E,MATCH("W|"&amp;N97&amp;"|なし",'判定表'!$A:$A,0)),"判定表にない回答"))))</f>
        <v/>
      </c>
    </row>
    <row r="98">
      <c r="A98" s="17" t="n"/>
      <c r="B98" s="17" t="n"/>
      <c r="C98" s="17" t="n"/>
      <c r="D98" s="22">
        <f>IF(C98="","",IFERROR(INDEX('システム'!$B:$B,MATCH(C98,'システム'!$A:$A,0)),"システムが未登録"))</f>
        <v/>
      </c>
      <c r="E98" s="17" t="n"/>
      <c r="F98" s="17" t="n"/>
      <c r="G98" s="17" t="n"/>
      <c r="H98" s="43" t="n"/>
      <c r="I98" s="17" t="n"/>
      <c r="J98" s="17" t="n"/>
      <c r="K98" s="17" t="n"/>
      <c r="L98" s="17" t="n"/>
      <c r="M98" s="17" t="n"/>
      <c r="N98" s="17" t="n"/>
      <c r="O98" s="22">
        <f>IF(A98="","",IF(I98&lt;&gt;"済","判定保留",IF(OR(N98="",J98="",K98="",L98="",J98="未確認",K98="未確認"),"判定保留",IF(AND(J98="はい",L98="無"),"入力エラー（GxP対象でSOP無）",IFERROR(INDEX('判定表'!$D:$D,MATCH("W|"&amp;N98&amp;"|"&amp;IF(OR(J98="はい",K98="はい",L98="無"),"あり","なし"),'判定表'!$A:$A,0)),"判定表にない組み合わせ")))))</f>
        <v/>
      </c>
      <c r="P98" s="22">
        <f>IF(A98="","",IF(C98="","対象外",IF(COUNTIFS('システム'!$A$4:$A$200,C98,'システム'!$N$4:$N$200,"移管")&gt;0,"移管",IF(COUNTIFS('システム'!$A$4:$A$200,C98,'システム'!$N$4:$N$200,"留保")&gt;0,"留保","判定保留"))))</f>
        <v/>
      </c>
      <c r="Q98" s="22">
        <f>IF(A98="","",IF(P98&lt;&gt;"移管","—",IF(N98="","判定保留",IFERROR(INDEX('判定表'!$E:$E,MATCH("W|"&amp;N98&amp;"|なし",'判定表'!$A:$A,0)),"判定表にない回答"))))</f>
        <v/>
      </c>
    </row>
    <row r="99">
      <c r="A99" s="17" t="n"/>
      <c r="B99" s="17" t="n"/>
      <c r="C99" s="17" t="n"/>
      <c r="D99" s="22">
        <f>IF(C99="","",IFERROR(INDEX('システム'!$B:$B,MATCH(C99,'システム'!$A:$A,0)),"システムが未登録"))</f>
        <v/>
      </c>
      <c r="E99" s="17" t="n"/>
      <c r="F99" s="17" t="n"/>
      <c r="G99" s="17" t="n"/>
      <c r="H99" s="43" t="n"/>
      <c r="I99" s="17" t="n"/>
      <c r="J99" s="17" t="n"/>
      <c r="K99" s="17" t="n"/>
      <c r="L99" s="17" t="n"/>
      <c r="M99" s="17" t="n"/>
      <c r="N99" s="17" t="n"/>
      <c r="O99" s="22">
        <f>IF(A99="","",IF(I99&lt;&gt;"済","判定保留",IF(OR(N99="",J99="",K99="",L99="",J99="未確認",K99="未確認"),"判定保留",IF(AND(J99="はい",L99="無"),"入力エラー（GxP対象でSOP無）",IFERROR(INDEX('判定表'!$D:$D,MATCH("W|"&amp;N99&amp;"|"&amp;IF(OR(J99="はい",K99="はい",L99="無"),"あり","なし"),'判定表'!$A:$A,0)),"判定表にない組み合わせ")))))</f>
        <v/>
      </c>
      <c r="P99" s="22">
        <f>IF(A99="","",IF(C99="","対象外",IF(COUNTIFS('システム'!$A$4:$A$200,C99,'システム'!$N$4:$N$200,"移管")&gt;0,"移管",IF(COUNTIFS('システム'!$A$4:$A$200,C99,'システム'!$N$4:$N$200,"留保")&gt;0,"留保","判定保留"))))</f>
        <v/>
      </c>
      <c r="Q99" s="22">
        <f>IF(A99="","",IF(P99&lt;&gt;"移管","—",IF(N99="","判定保留",IFERROR(INDEX('判定表'!$E:$E,MATCH("W|"&amp;N99&amp;"|なし",'判定表'!$A:$A,0)),"判定表にない回答"))))</f>
        <v/>
      </c>
    </row>
    <row r="100">
      <c r="A100" s="17" t="n"/>
      <c r="B100" s="17" t="n"/>
      <c r="C100" s="17" t="n"/>
      <c r="D100" s="22">
        <f>IF(C100="","",IFERROR(INDEX('システム'!$B:$B,MATCH(C100,'システム'!$A:$A,0)),"システムが未登録"))</f>
        <v/>
      </c>
      <c r="E100" s="17" t="n"/>
      <c r="F100" s="17" t="n"/>
      <c r="G100" s="17" t="n"/>
      <c r="H100" s="43" t="n"/>
      <c r="I100" s="17" t="n"/>
      <c r="J100" s="17" t="n"/>
      <c r="K100" s="17" t="n"/>
      <c r="L100" s="17" t="n"/>
      <c r="M100" s="17" t="n"/>
      <c r="N100" s="17" t="n"/>
      <c r="O100" s="22">
        <f>IF(A100="","",IF(I100&lt;&gt;"済","判定保留",IF(OR(N100="",J100="",K100="",L100="",J100="未確認",K100="未確認"),"判定保留",IF(AND(J100="はい",L100="無"),"入力エラー（GxP対象でSOP無）",IFERROR(INDEX('判定表'!$D:$D,MATCH("W|"&amp;N100&amp;"|"&amp;IF(OR(J100="はい",K100="はい",L100="無"),"あり","なし"),'判定表'!$A:$A,0)),"判定表にない組み合わせ")))))</f>
        <v/>
      </c>
      <c r="P100" s="22">
        <f>IF(A100="","",IF(C100="","対象外",IF(COUNTIFS('システム'!$A$4:$A$200,C100,'システム'!$N$4:$N$200,"移管")&gt;0,"移管",IF(COUNTIFS('システム'!$A$4:$A$200,C100,'システム'!$N$4:$N$200,"留保")&gt;0,"留保","判定保留"))))</f>
        <v/>
      </c>
      <c r="Q100" s="22">
        <f>IF(A100="","",IF(P100&lt;&gt;"移管","—",IF(N100="","判定保留",IFERROR(INDEX('判定表'!$E:$E,MATCH("W|"&amp;N100&amp;"|なし",'判定表'!$A:$A,0)),"判定表にない回答"))))</f>
        <v/>
      </c>
    </row>
    <row r="101">
      <c r="A101" s="17" t="n"/>
      <c r="B101" s="17" t="n"/>
      <c r="C101" s="17" t="n"/>
      <c r="D101" s="22">
        <f>IF(C101="","",IFERROR(INDEX('システム'!$B:$B,MATCH(C101,'システム'!$A:$A,0)),"システムが未登録"))</f>
        <v/>
      </c>
      <c r="E101" s="17" t="n"/>
      <c r="F101" s="17" t="n"/>
      <c r="G101" s="17" t="n"/>
      <c r="H101" s="43" t="n"/>
      <c r="I101" s="17" t="n"/>
      <c r="J101" s="17" t="n"/>
      <c r="K101" s="17" t="n"/>
      <c r="L101" s="17" t="n"/>
      <c r="M101" s="17" t="n"/>
      <c r="N101" s="17" t="n"/>
      <c r="O101" s="22">
        <f>IF(A101="","",IF(I101&lt;&gt;"済","判定保留",IF(OR(N101="",J101="",K101="",L101="",J101="未確認",K101="未確認"),"判定保留",IF(AND(J101="はい",L101="無"),"入力エラー（GxP対象でSOP無）",IFERROR(INDEX('判定表'!$D:$D,MATCH("W|"&amp;N101&amp;"|"&amp;IF(OR(J101="はい",K101="はい",L101="無"),"あり","なし"),'判定表'!$A:$A,0)),"判定表にない組み合わせ")))))</f>
        <v/>
      </c>
      <c r="P101" s="22">
        <f>IF(A101="","",IF(C101="","対象外",IF(COUNTIFS('システム'!$A$4:$A$200,C101,'システム'!$N$4:$N$200,"移管")&gt;0,"移管",IF(COUNTIFS('システム'!$A$4:$A$200,C101,'システム'!$N$4:$N$200,"留保")&gt;0,"留保","判定保留"))))</f>
        <v/>
      </c>
      <c r="Q101" s="22">
        <f>IF(A101="","",IF(P101&lt;&gt;"移管","—",IF(N101="","判定保留",IFERROR(INDEX('判定表'!$E:$E,MATCH("W|"&amp;N101&amp;"|なし",'判定表'!$A:$A,0)),"判定表にない回答"))))</f>
        <v/>
      </c>
    </row>
    <row r="102">
      <c r="A102" s="17" t="n"/>
      <c r="B102" s="17" t="n"/>
      <c r="C102" s="17" t="n"/>
      <c r="D102" s="22">
        <f>IF(C102="","",IFERROR(INDEX('システム'!$B:$B,MATCH(C102,'システム'!$A:$A,0)),"システムが未登録"))</f>
        <v/>
      </c>
      <c r="E102" s="17" t="n"/>
      <c r="F102" s="17" t="n"/>
      <c r="G102" s="17" t="n"/>
      <c r="H102" s="43" t="n"/>
      <c r="I102" s="17" t="n"/>
      <c r="J102" s="17" t="n"/>
      <c r="K102" s="17" t="n"/>
      <c r="L102" s="17" t="n"/>
      <c r="M102" s="17" t="n"/>
      <c r="N102" s="17" t="n"/>
      <c r="O102" s="22">
        <f>IF(A102="","",IF(I102&lt;&gt;"済","判定保留",IF(OR(N102="",J102="",K102="",L102="",J102="未確認",K102="未確認"),"判定保留",IF(AND(J102="はい",L102="無"),"入力エラー（GxP対象でSOP無）",IFERROR(INDEX('判定表'!$D:$D,MATCH("W|"&amp;N102&amp;"|"&amp;IF(OR(J102="はい",K102="はい",L102="無"),"あり","なし"),'判定表'!$A:$A,0)),"判定表にない組み合わせ")))))</f>
        <v/>
      </c>
      <c r="P102" s="22">
        <f>IF(A102="","",IF(C102="","対象外",IF(COUNTIFS('システム'!$A$4:$A$200,C102,'システム'!$N$4:$N$200,"移管")&gt;0,"移管",IF(COUNTIFS('システム'!$A$4:$A$200,C102,'システム'!$N$4:$N$200,"留保")&gt;0,"留保","判定保留"))))</f>
        <v/>
      </c>
      <c r="Q102" s="22">
        <f>IF(A102="","",IF(P102&lt;&gt;"移管","—",IF(N102="","判定保留",IFERROR(INDEX('判定表'!$E:$E,MATCH("W|"&amp;N102&amp;"|なし",'判定表'!$A:$A,0)),"判定表にない回答"))))</f>
        <v/>
      </c>
    </row>
    <row r="103">
      <c r="A103" s="17" t="n"/>
      <c r="B103" s="17" t="n"/>
      <c r="C103" s="17" t="n"/>
      <c r="D103" s="22">
        <f>IF(C103="","",IFERROR(INDEX('システム'!$B:$B,MATCH(C103,'システム'!$A:$A,0)),"システムが未登録"))</f>
        <v/>
      </c>
      <c r="E103" s="17" t="n"/>
      <c r="F103" s="17" t="n"/>
      <c r="G103" s="17" t="n"/>
      <c r="H103" s="43" t="n"/>
      <c r="I103" s="17" t="n"/>
      <c r="J103" s="17" t="n"/>
      <c r="K103" s="17" t="n"/>
      <c r="L103" s="17" t="n"/>
      <c r="M103" s="17" t="n"/>
      <c r="N103" s="17" t="n"/>
      <c r="O103" s="22">
        <f>IF(A103="","",IF(I103&lt;&gt;"済","判定保留",IF(OR(N103="",J103="",K103="",L103="",J103="未確認",K103="未確認"),"判定保留",IF(AND(J103="はい",L103="無"),"入力エラー（GxP対象でSOP無）",IFERROR(INDEX('判定表'!$D:$D,MATCH("W|"&amp;N103&amp;"|"&amp;IF(OR(J103="はい",K103="はい",L103="無"),"あり","なし"),'判定表'!$A:$A,0)),"判定表にない組み合わせ")))))</f>
        <v/>
      </c>
      <c r="P103" s="22">
        <f>IF(A103="","",IF(C103="","対象外",IF(COUNTIFS('システム'!$A$4:$A$200,C103,'システム'!$N$4:$N$200,"移管")&gt;0,"移管",IF(COUNTIFS('システム'!$A$4:$A$200,C103,'システム'!$N$4:$N$200,"留保")&gt;0,"留保","判定保留"))))</f>
        <v/>
      </c>
      <c r="Q103" s="22">
        <f>IF(A103="","",IF(P103&lt;&gt;"移管","—",IF(N103="","判定保留",IFERROR(INDEX('判定表'!$E:$E,MATCH("W|"&amp;N103&amp;"|なし",'判定表'!$A:$A,0)),"判定表にない回答"))))</f>
        <v/>
      </c>
    </row>
    <row r="104">
      <c r="A104" s="17" t="n"/>
      <c r="B104" s="17" t="n"/>
      <c r="C104" s="17" t="n"/>
      <c r="D104" s="22">
        <f>IF(C104="","",IFERROR(INDEX('システム'!$B:$B,MATCH(C104,'システム'!$A:$A,0)),"システムが未登録"))</f>
        <v/>
      </c>
      <c r="E104" s="17" t="n"/>
      <c r="F104" s="17" t="n"/>
      <c r="G104" s="17" t="n"/>
      <c r="H104" s="43" t="n"/>
      <c r="I104" s="17" t="n"/>
      <c r="J104" s="17" t="n"/>
      <c r="K104" s="17" t="n"/>
      <c r="L104" s="17" t="n"/>
      <c r="M104" s="17" t="n"/>
      <c r="N104" s="17" t="n"/>
      <c r="O104" s="22">
        <f>IF(A104="","",IF(I104&lt;&gt;"済","判定保留",IF(OR(N104="",J104="",K104="",L104="",J104="未確認",K104="未確認"),"判定保留",IF(AND(J104="はい",L104="無"),"入力エラー（GxP対象でSOP無）",IFERROR(INDEX('判定表'!$D:$D,MATCH("W|"&amp;N104&amp;"|"&amp;IF(OR(J104="はい",K104="はい",L104="無"),"あり","なし"),'判定表'!$A:$A,0)),"判定表にない組み合わせ")))))</f>
        <v/>
      </c>
      <c r="P104" s="22">
        <f>IF(A104="","",IF(C104="","対象外",IF(COUNTIFS('システム'!$A$4:$A$200,C104,'システム'!$N$4:$N$200,"移管")&gt;0,"移管",IF(COUNTIFS('システム'!$A$4:$A$200,C104,'システム'!$N$4:$N$200,"留保")&gt;0,"留保","判定保留"))))</f>
        <v/>
      </c>
      <c r="Q104" s="22">
        <f>IF(A104="","",IF(P104&lt;&gt;"移管","—",IF(N104="","判定保留",IFERROR(INDEX('判定表'!$E:$E,MATCH("W|"&amp;N104&amp;"|なし",'判定表'!$A:$A,0)),"判定表にない回答"))))</f>
        <v/>
      </c>
    </row>
    <row r="105">
      <c r="A105" s="17" t="n"/>
      <c r="B105" s="17" t="n"/>
      <c r="C105" s="17" t="n"/>
      <c r="D105" s="22">
        <f>IF(C105="","",IFERROR(INDEX('システム'!$B:$B,MATCH(C105,'システム'!$A:$A,0)),"システムが未登録"))</f>
        <v/>
      </c>
      <c r="E105" s="17" t="n"/>
      <c r="F105" s="17" t="n"/>
      <c r="G105" s="17" t="n"/>
      <c r="H105" s="43" t="n"/>
      <c r="I105" s="17" t="n"/>
      <c r="J105" s="17" t="n"/>
      <c r="K105" s="17" t="n"/>
      <c r="L105" s="17" t="n"/>
      <c r="M105" s="17" t="n"/>
      <c r="N105" s="17" t="n"/>
      <c r="O105" s="22">
        <f>IF(A105="","",IF(I105&lt;&gt;"済","判定保留",IF(OR(N105="",J105="",K105="",L105="",J105="未確認",K105="未確認"),"判定保留",IF(AND(J105="はい",L105="無"),"入力エラー（GxP対象でSOP無）",IFERROR(INDEX('判定表'!$D:$D,MATCH("W|"&amp;N105&amp;"|"&amp;IF(OR(J105="はい",K105="はい",L105="無"),"あり","なし"),'判定表'!$A:$A,0)),"判定表にない組み合わせ")))))</f>
        <v/>
      </c>
      <c r="P105" s="22">
        <f>IF(A105="","",IF(C105="","対象外",IF(COUNTIFS('システム'!$A$4:$A$200,C105,'システム'!$N$4:$N$200,"移管")&gt;0,"移管",IF(COUNTIFS('システム'!$A$4:$A$200,C105,'システム'!$N$4:$N$200,"留保")&gt;0,"留保","判定保留"))))</f>
        <v/>
      </c>
      <c r="Q105" s="22">
        <f>IF(A105="","",IF(P105&lt;&gt;"移管","—",IF(N105="","判定保留",IFERROR(INDEX('判定表'!$E:$E,MATCH("W|"&amp;N105&amp;"|なし",'判定表'!$A:$A,0)),"判定表にない回答"))))</f>
        <v/>
      </c>
    </row>
    <row r="106">
      <c r="A106" s="17" t="n"/>
      <c r="B106" s="17" t="n"/>
      <c r="C106" s="17" t="n"/>
      <c r="D106" s="22">
        <f>IF(C106="","",IFERROR(INDEX('システム'!$B:$B,MATCH(C106,'システム'!$A:$A,0)),"システムが未登録"))</f>
        <v/>
      </c>
      <c r="E106" s="17" t="n"/>
      <c r="F106" s="17" t="n"/>
      <c r="G106" s="17" t="n"/>
      <c r="H106" s="43" t="n"/>
      <c r="I106" s="17" t="n"/>
      <c r="J106" s="17" t="n"/>
      <c r="K106" s="17" t="n"/>
      <c r="L106" s="17" t="n"/>
      <c r="M106" s="17" t="n"/>
      <c r="N106" s="17" t="n"/>
      <c r="O106" s="22">
        <f>IF(A106="","",IF(I106&lt;&gt;"済","判定保留",IF(OR(N106="",J106="",K106="",L106="",J106="未確認",K106="未確認"),"判定保留",IF(AND(J106="はい",L106="無"),"入力エラー（GxP対象でSOP無）",IFERROR(INDEX('判定表'!$D:$D,MATCH("W|"&amp;N106&amp;"|"&amp;IF(OR(J106="はい",K106="はい",L106="無"),"あり","なし"),'判定表'!$A:$A,0)),"判定表にない組み合わせ")))))</f>
        <v/>
      </c>
      <c r="P106" s="22">
        <f>IF(A106="","",IF(C106="","対象外",IF(COUNTIFS('システム'!$A$4:$A$200,C106,'システム'!$N$4:$N$200,"移管")&gt;0,"移管",IF(COUNTIFS('システム'!$A$4:$A$200,C106,'システム'!$N$4:$N$200,"留保")&gt;0,"留保","判定保留"))))</f>
        <v/>
      </c>
      <c r="Q106" s="22">
        <f>IF(A106="","",IF(P106&lt;&gt;"移管","—",IF(N106="","判定保留",IFERROR(INDEX('判定表'!$E:$E,MATCH("W|"&amp;N106&amp;"|なし",'判定表'!$A:$A,0)),"判定表にない回答"))))</f>
        <v/>
      </c>
    </row>
    <row r="107">
      <c r="A107" s="17" t="n"/>
      <c r="B107" s="17" t="n"/>
      <c r="C107" s="17" t="n"/>
      <c r="D107" s="22">
        <f>IF(C107="","",IFERROR(INDEX('システム'!$B:$B,MATCH(C107,'システム'!$A:$A,0)),"システムが未登録"))</f>
        <v/>
      </c>
      <c r="E107" s="17" t="n"/>
      <c r="F107" s="17" t="n"/>
      <c r="G107" s="17" t="n"/>
      <c r="H107" s="43" t="n"/>
      <c r="I107" s="17" t="n"/>
      <c r="J107" s="17" t="n"/>
      <c r="K107" s="17" t="n"/>
      <c r="L107" s="17" t="n"/>
      <c r="M107" s="17" t="n"/>
      <c r="N107" s="17" t="n"/>
      <c r="O107" s="22">
        <f>IF(A107="","",IF(I107&lt;&gt;"済","判定保留",IF(OR(N107="",J107="",K107="",L107="",J107="未確認",K107="未確認"),"判定保留",IF(AND(J107="はい",L107="無"),"入力エラー（GxP対象でSOP無）",IFERROR(INDEX('判定表'!$D:$D,MATCH("W|"&amp;N107&amp;"|"&amp;IF(OR(J107="はい",K107="はい",L107="無"),"あり","なし"),'判定表'!$A:$A,0)),"判定表にない組み合わせ")))))</f>
        <v/>
      </c>
      <c r="P107" s="22">
        <f>IF(A107="","",IF(C107="","対象外",IF(COUNTIFS('システム'!$A$4:$A$200,C107,'システム'!$N$4:$N$200,"移管")&gt;0,"移管",IF(COUNTIFS('システム'!$A$4:$A$200,C107,'システム'!$N$4:$N$200,"留保")&gt;0,"留保","判定保留"))))</f>
        <v/>
      </c>
      <c r="Q107" s="22">
        <f>IF(A107="","",IF(P107&lt;&gt;"移管","—",IF(N107="","判定保留",IFERROR(INDEX('判定表'!$E:$E,MATCH("W|"&amp;N107&amp;"|なし",'判定表'!$A:$A,0)),"判定表にない回答"))))</f>
        <v/>
      </c>
    </row>
    <row r="108">
      <c r="A108" s="17" t="n"/>
      <c r="B108" s="17" t="n"/>
      <c r="C108" s="17" t="n"/>
      <c r="D108" s="22">
        <f>IF(C108="","",IFERROR(INDEX('システム'!$B:$B,MATCH(C108,'システム'!$A:$A,0)),"システムが未登録"))</f>
        <v/>
      </c>
      <c r="E108" s="17" t="n"/>
      <c r="F108" s="17" t="n"/>
      <c r="G108" s="17" t="n"/>
      <c r="H108" s="43" t="n"/>
      <c r="I108" s="17" t="n"/>
      <c r="J108" s="17" t="n"/>
      <c r="K108" s="17" t="n"/>
      <c r="L108" s="17" t="n"/>
      <c r="M108" s="17" t="n"/>
      <c r="N108" s="17" t="n"/>
      <c r="O108" s="22">
        <f>IF(A108="","",IF(I108&lt;&gt;"済","判定保留",IF(OR(N108="",J108="",K108="",L108="",J108="未確認",K108="未確認"),"判定保留",IF(AND(J108="はい",L108="無"),"入力エラー（GxP対象でSOP無）",IFERROR(INDEX('判定表'!$D:$D,MATCH("W|"&amp;N108&amp;"|"&amp;IF(OR(J108="はい",K108="はい",L108="無"),"あり","なし"),'判定表'!$A:$A,0)),"判定表にない組み合わせ")))))</f>
        <v/>
      </c>
      <c r="P108" s="22">
        <f>IF(A108="","",IF(C108="","対象外",IF(COUNTIFS('システム'!$A$4:$A$200,C108,'システム'!$N$4:$N$200,"移管")&gt;0,"移管",IF(COUNTIFS('システム'!$A$4:$A$200,C108,'システム'!$N$4:$N$200,"留保")&gt;0,"留保","判定保留"))))</f>
        <v/>
      </c>
      <c r="Q108" s="22">
        <f>IF(A108="","",IF(P108&lt;&gt;"移管","—",IF(N108="","判定保留",IFERROR(INDEX('判定表'!$E:$E,MATCH("W|"&amp;N108&amp;"|なし",'判定表'!$A:$A,0)),"判定表にない回答"))))</f>
        <v/>
      </c>
    </row>
    <row r="109">
      <c r="A109" s="17" t="n"/>
      <c r="B109" s="17" t="n"/>
      <c r="C109" s="17" t="n"/>
      <c r="D109" s="22">
        <f>IF(C109="","",IFERROR(INDEX('システム'!$B:$B,MATCH(C109,'システム'!$A:$A,0)),"システムが未登録"))</f>
        <v/>
      </c>
      <c r="E109" s="17" t="n"/>
      <c r="F109" s="17" t="n"/>
      <c r="G109" s="17" t="n"/>
      <c r="H109" s="43" t="n"/>
      <c r="I109" s="17" t="n"/>
      <c r="J109" s="17" t="n"/>
      <c r="K109" s="17" t="n"/>
      <c r="L109" s="17" t="n"/>
      <c r="M109" s="17" t="n"/>
      <c r="N109" s="17" t="n"/>
      <c r="O109" s="22">
        <f>IF(A109="","",IF(I109&lt;&gt;"済","判定保留",IF(OR(N109="",J109="",K109="",L109="",J109="未確認",K109="未確認"),"判定保留",IF(AND(J109="はい",L109="無"),"入力エラー（GxP対象でSOP無）",IFERROR(INDEX('判定表'!$D:$D,MATCH("W|"&amp;N109&amp;"|"&amp;IF(OR(J109="はい",K109="はい",L109="無"),"あり","なし"),'判定表'!$A:$A,0)),"判定表にない組み合わせ")))))</f>
        <v/>
      </c>
      <c r="P109" s="22">
        <f>IF(A109="","",IF(C109="","対象外",IF(COUNTIFS('システム'!$A$4:$A$200,C109,'システム'!$N$4:$N$200,"移管")&gt;0,"移管",IF(COUNTIFS('システム'!$A$4:$A$200,C109,'システム'!$N$4:$N$200,"留保")&gt;0,"留保","判定保留"))))</f>
        <v/>
      </c>
      <c r="Q109" s="22">
        <f>IF(A109="","",IF(P109&lt;&gt;"移管","—",IF(N109="","判定保留",IFERROR(INDEX('判定表'!$E:$E,MATCH("W|"&amp;N109&amp;"|なし",'判定表'!$A:$A,0)),"判定表にない回答"))))</f>
        <v/>
      </c>
    </row>
    <row r="110">
      <c r="A110" s="17" t="n"/>
      <c r="B110" s="17" t="n"/>
      <c r="C110" s="17" t="n"/>
      <c r="D110" s="22">
        <f>IF(C110="","",IFERROR(INDEX('システム'!$B:$B,MATCH(C110,'システム'!$A:$A,0)),"システムが未登録"))</f>
        <v/>
      </c>
      <c r="E110" s="17" t="n"/>
      <c r="F110" s="17" t="n"/>
      <c r="G110" s="17" t="n"/>
      <c r="H110" s="43" t="n"/>
      <c r="I110" s="17" t="n"/>
      <c r="J110" s="17" t="n"/>
      <c r="K110" s="17" t="n"/>
      <c r="L110" s="17" t="n"/>
      <c r="M110" s="17" t="n"/>
      <c r="N110" s="17" t="n"/>
      <c r="O110" s="22">
        <f>IF(A110="","",IF(I110&lt;&gt;"済","判定保留",IF(OR(N110="",J110="",K110="",L110="",J110="未確認",K110="未確認"),"判定保留",IF(AND(J110="はい",L110="無"),"入力エラー（GxP対象でSOP無）",IFERROR(INDEX('判定表'!$D:$D,MATCH("W|"&amp;N110&amp;"|"&amp;IF(OR(J110="はい",K110="はい",L110="無"),"あり","なし"),'判定表'!$A:$A,0)),"判定表にない組み合わせ")))))</f>
        <v/>
      </c>
      <c r="P110" s="22">
        <f>IF(A110="","",IF(C110="","対象外",IF(COUNTIFS('システム'!$A$4:$A$200,C110,'システム'!$N$4:$N$200,"移管")&gt;0,"移管",IF(COUNTIFS('システム'!$A$4:$A$200,C110,'システム'!$N$4:$N$200,"留保")&gt;0,"留保","判定保留"))))</f>
        <v/>
      </c>
      <c r="Q110" s="22">
        <f>IF(A110="","",IF(P110&lt;&gt;"移管","—",IF(N110="","判定保留",IFERROR(INDEX('判定表'!$E:$E,MATCH("W|"&amp;N110&amp;"|なし",'判定表'!$A:$A,0)),"判定表にない回答"))))</f>
        <v/>
      </c>
    </row>
    <row r="111">
      <c r="A111" s="17" t="n"/>
      <c r="B111" s="17" t="n"/>
      <c r="C111" s="17" t="n"/>
      <c r="D111" s="22">
        <f>IF(C111="","",IFERROR(INDEX('システム'!$B:$B,MATCH(C111,'システム'!$A:$A,0)),"システムが未登録"))</f>
        <v/>
      </c>
      <c r="E111" s="17" t="n"/>
      <c r="F111" s="17" t="n"/>
      <c r="G111" s="17" t="n"/>
      <c r="H111" s="43" t="n"/>
      <c r="I111" s="17" t="n"/>
      <c r="J111" s="17" t="n"/>
      <c r="K111" s="17" t="n"/>
      <c r="L111" s="17" t="n"/>
      <c r="M111" s="17" t="n"/>
      <c r="N111" s="17" t="n"/>
      <c r="O111" s="22">
        <f>IF(A111="","",IF(I111&lt;&gt;"済","判定保留",IF(OR(N111="",J111="",K111="",L111="",J111="未確認",K111="未確認"),"判定保留",IF(AND(J111="はい",L111="無"),"入力エラー（GxP対象でSOP無）",IFERROR(INDEX('判定表'!$D:$D,MATCH("W|"&amp;N111&amp;"|"&amp;IF(OR(J111="はい",K111="はい",L111="無"),"あり","なし"),'判定表'!$A:$A,0)),"判定表にない組み合わせ")))))</f>
        <v/>
      </c>
      <c r="P111" s="22">
        <f>IF(A111="","",IF(C111="","対象外",IF(COUNTIFS('システム'!$A$4:$A$200,C111,'システム'!$N$4:$N$200,"移管")&gt;0,"移管",IF(COUNTIFS('システム'!$A$4:$A$200,C111,'システム'!$N$4:$N$200,"留保")&gt;0,"留保","判定保留"))))</f>
        <v/>
      </c>
      <c r="Q111" s="22">
        <f>IF(A111="","",IF(P111&lt;&gt;"移管","—",IF(N111="","判定保留",IFERROR(INDEX('判定表'!$E:$E,MATCH("W|"&amp;N111&amp;"|なし",'判定表'!$A:$A,0)),"判定表にない回答"))))</f>
        <v/>
      </c>
    </row>
    <row r="112">
      <c r="A112" s="17" t="n"/>
      <c r="B112" s="17" t="n"/>
      <c r="C112" s="17" t="n"/>
      <c r="D112" s="22">
        <f>IF(C112="","",IFERROR(INDEX('システム'!$B:$B,MATCH(C112,'システム'!$A:$A,0)),"システムが未登録"))</f>
        <v/>
      </c>
      <c r="E112" s="17" t="n"/>
      <c r="F112" s="17" t="n"/>
      <c r="G112" s="17" t="n"/>
      <c r="H112" s="43" t="n"/>
      <c r="I112" s="17" t="n"/>
      <c r="J112" s="17" t="n"/>
      <c r="K112" s="17" t="n"/>
      <c r="L112" s="17" t="n"/>
      <c r="M112" s="17" t="n"/>
      <c r="N112" s="17" t="n"/>
      <c r="O112" s="22">
        <f>IF(A112="","",IF(I112&lt;&gt;"済","判定保留",IF(OR(N112="",J112="",K112="",L112="",J112="未確認",K112="未確認"),"判定保留",IF(AND(J112="はい",L112="無"),"入力エラー（GxP対象でSOP無）",IFERROR(INDEX('判定表'!$D:$D,MATCH("W|"&amp;N112&amp;"|"&amp;IF(OR(J112="はい",K112="はい",L112="無"),"あり","なし"),'判定表'!$A:$A,0)),"判定表にない組み合わせ")))))</f>
        <v/>
      </c>
      <c r="P112" s="22">
        <f>IF(A112="","",IF(C112="","対象外",IF(COUNTIFS('システム'!$A$4:$A$200,C112,'システム'!$N$4:$N$200,"移管")&gt;0,"移管",IF(COUNTIFS('システム'!$A$4:$A$200,C112,'システム'!$N$4:$N$200,"留保")&gt;0,"留保","判定保留"))))</f>
        <v/>
      </c>
      <c r="Q112" s="22">
        <f>IF(A112="","",IF(P112&lt;&gt;"移管","—",IF(N112="","判定保留",IFERROR(INDEX('判定表'!$E:$E,MATCH("W|"&amp;N112&amp;"|なし",'判定表'!$A:$A,0)),"判定表にない回答"))))</f>
        <v/>
      </c>
    </row>
    <row r="113">
      <c r="A113" s="17" t="n"/>
      <c r="B113" s="17" t="n"/>
      <c r="C113" s="17" t="n"/>
      <c r="D113" s="22">
        <f>IF(C113="","",IFERROR(INDEX('システム'!$B:$B,MATCH(C113,'システム'!$A:$A,0)),"システムが未登録"))</f>
        <v/>
      </c>
      <c r="E113" s="17" t="n"/>
      <c r="F113" s="17" t="n"/>
      <c r="G113" s="17" t="n"/>
      <c r="H113" s="43" t="n"/>
      <c r="I113" s="17" t="n"/>
      <c r="J113" s="17" t="n"/>
      <c r="K113" s="17" t="n"/>
      <c r="L113" s="17" t="n"/>
      <c r="M113" s="17" t="n"/>
      <c r="N113" s="17" t="n"/>
      <c r="O113" s="22">
        <f>IF(A113="","",IF(I113&lt;&gt;"済","判定保留",IF(OR(N113="",J113="",K113="",L113="",J113="未確認",K113="未確認"),"判定保留",IF(AND(J113="はい",L113="無"),"入力エラー（GxP対象でSOP無）",IFERROR(INDEX('判定表'!$D:$D,MATCH("W|"&amp;N113&amp;"|"&amp;IF(OR(J113="はい",K113="はい",L113="無"),"あり","なし"),'判定表'!$A:$A,0)),"判定表にない組み合わせ")))))</f>
        <v/>
      </c>
      <c r="P113" s="22">
        <f>IF(A113="","",IF(C113="","対象外",IF(COUNTIFS('システム'!$A$4:$A$200,C113,'システム'!$N$4:$N$200,"移管")&gt;0,"移管",IF(COUNTIFS('システム'!$A$4:$A$200,C113,'システム'!$N$4:$N$200,"留保")&gt;0,"留保","判定保留"))))</f>
        <v/>
      </c>
      <c r="Q113" s="22">
        <f>IF(A113="","",IF(P113&lt;&gt;"移管","—",IF(N113="","判定保留",IFERROR(INDEX('判定表'!$E:$E,MATCH("W|"&amp;N113&amp;"|なし",'判定表'!$A:$A,0)),"判定表にない回答"))))</f>
        <v/>
      </c>
    </row>
    <row r="114">
      <c r="A114" s="17" t="n"/>
      <c r="B114" s="17" t="n"/>
      <c r="C114" s="17" t="n"/>
      <c r="D114" s="22">
        <f>IF(C114="","",IFERROR(INDEX('システム'!$B:$B,MATCH(C114,'システム'!$A:$A,0)),"システムが未登録"))</f>
        <v/>
      </c>
      <c r="E114" s="17" t="n"/>
      <c r="F114" s="17" t="n"/>
      <c r="G114" s="17" t="n"/>
      <c r="H114" s="43" t="n"/>
      <c r="I114" s="17" t="n"/>
      <c r="J114" s="17" t="n"/>
      <c r="K114" s="17" t="n"/>
      <c r="L114" s="17" t="n"/>
      <c r="M114" s="17" t="n"/>
      <c r="N114" s="17" t="n"/>
      <c r="O114" s="22">
        <f>IF(A114="","",IF(I114&lt;&gt;"済","判定保留",IF(OR(N114="",J114="",K114="",L114="",J114="未確認",K114="未確認"),"判定保留",IF(AND(J114="はい",L114="無"),"入力エラー（GxP対象でSOP無）",IFERROR(INDEX('判定表'!$D:$D,MATCH("W|"&amp;N114&amp;"|"&amp;IF(OR(J114="はい",K114="はい",L114="無"),"あり","なし"),'判定表'!$A:$A,0)),"判定表にない組み合わせ")))))</f>
        <v/>
      </c>
      <c r="P114" s="22">
        <f>IF(A114="","",IF(C114="","対象外",IF(COUNTIFS('システム'!$A$4:$A$200,C114,'システム'!$N$4:$N$200,"移管")&gt;0,"移管",IF(COUNTIFS('システム'!$A$4:$A$200,C114,'システム'!$N$4:$N$200,"留保")&gt;0,"留保","判定保留"))))</f>
        <v/>
      </c>
      <c r="Q114" s="22">
        <f>IF(A114="","",IF(P114&lt;&gt;"移管","—",IF(N114="","判定保留",IFERROR(INDEX('判定表'!$E:$E,MATCH("W|"&amp;N114&amp;"|なし",'判定表'!$A:$A,0)),"判定表にない回答"))))</f>
        <v/>
      </c>
    </row>
    <row r="115">
      <c r="A115" s="17" t="n"/>
      <c r="B115" s="17" t="n"/>
      <c r="C115" s="17" t="n"/>
      <c r="D115" s="22">
        <f>IF(C115="","",IFERROR(INDEX('システム'!$B:$B,MATCH(C115,'システム'!$A:$A,0)),"システムが未登録"))</f>
        <v/>
      </c>
      <c r="E115" s="17" t="n"/>
      <c r="F115" s="17" t="n"/>
      <c r="G115" s="17" t="n"/>
      <c r="H115" s="43" t="n"/>
      <c r="I115" s="17" t="n"/>
      <c r="J115" s="17" t="n"/>
      <c r="K115" s="17" t="n"/>
      <c r="L115" s="17" t="n"/>
      <c r="M115" s="17" t="n"/>
      <c r="N115" s="17" t="n"/>
      <c r="O115" s="22">
        <f>IF(A115="","",IF(I115&lt;&gt;"済","判定保留",IF(OR(N115="",J115="",K115="",L115="",J115="未確認",K115="未確認"),"判定保留",IF(AND(J115="はい",L115="無"),"入力エラー（GxP対象でSOP無）",IFERROR(INDEX('判定表'!$D:$D,MATCH("W|"&amp;N115&amp;"|"&amp;IF(OR(J115="はい",K115="はい",L115="無"),"あり","なし"),'判定表'!$A:$A,0)),"判定表にない組み合わせ")))))</f>
        <v/>
      </c>
      <c r="P115" s="22">
        <f>IF(A115="","",IF(C115="","対象外",IF(COUNTIFS('システム'!$A$4:$A$200,C115,'システム'!$N$4:$N$200,"移管")&gt;0,"移管",IF(COUNTIFS('システム'!$A$4:$A$200,C115,'システム'!$N$4:$N$200,"留保")&gt;0,"留保","判定保留"))))</f>
        <v/>
      </c>
      <c r="Q115" s="22">
        <f>IF(A115="","",IF(P115&lt;&gt;"移管","—",IF(N115="","判定保留",IFERROR(INDEX('判定表'!$E:$E,MATCH("W|"&amp;N115&amp;"|なし",'判定表'!$A:$A,0)),"判定表にない回答"))))</f>
        <v/>
      </c>
    </row>
    <row r="116">
      <c r="A116" s="17" t="n"/>
      <c r="B116" s="17" t="n"/>
      <c r="C116" s="17" t="n"/>
      <c r="D116" s="22">
        <f>IF(C116="","",IFERROR(INDEX('システム'!$B:$B,MATCH(C116,'システム'!$A:$A,0)),"システムが未登録"))</f>
        <v/>
      </c>
      <c r="E116" s="17" t="n"/>
      <c r="F116" s="17" t="n"/>
      <c r="G116" s="17" t="n"/>
      <c r="H116" s="43" t="n"/>
      <c r="I116" s="17" t="n"/>
      <c r="J116" s="17" t="n"/>
      <c r="K116" s="17" t="n"/>
      <c r="L116" s="17" t="n"/>
      <c r="M116" s="17" t="n"/>
      <c r="N116" s="17" t="n"/>
      <c r="O116" s="22">
        <f>IF(A116="","",IF(I116&lt;&gt;"済","判定保留",IF(OR(N116="",J116="",K116="",L116="",J116="未確認",K116="未確認"),"判定保留",IF(AND(J116="はい",L116="無"),"入力エラー（GxP対象でSOP無）",IFERROR(INDEX('判定表'!$D:$D,MATCH("W|"&amp;N116&amp;"|"&amp;IF(OR(J116="はい",K116="はい",L116="無"),"あり","なし"),'判定表'!$A:$A,0)),"判定表にない組み合わせ")))))</f>
        <v/>
      </c>
      <c r="P116" s="22">
        <f>IF(A116="","",IF(C116="","対象外",IF(COUNTIFS('システム'!$A$4:$A$200,C116,'システム'!$N$4:$N$200,"移管")&gt;0,"移管",IF(COUNTIFS('システム'!$A$4:$A$200,C116,'システム'!$N$4:$N$200,"留保")&gt;0,"留保","判定保留"))))</f>
        <v/>
      </c>
      <c r="Q116" s="22">
        <f>IF(A116="","",IF(P116&lt;&gt;"移管","—",IF(N116="","判定保留",IFERROR(INDEX('判定表'!$E:$E,MATCH("W|"&amp;N116&amp;"|なし",'判定表'!$A:$A,0)),"判定表にない回答"))))</f>
        <v/>
      </c>
    </row>
    <row r="117">
      <c r="A117" s="17" t="n"/>
      <c r="B117" s="17" t="n"/>
      <c r="C117" s="17" t="n"/>
      <c r="D117" s="22">
        <f>IF(C117="","",IFERROR(INDEX('システム'!$B:$B,MATCH(C117,'システム'!$A:$A,0)),"システムが未登録"))</f>
        <v/>
      </c>
      <c r="E117" s="17" t="n"/>
      <c r="F117" s="17" t="n"/>
      <c r="G117" s="17" t="n"/>
      <c r="H117" s="43" t="n"/>
      <c r="I117" s="17" t="n"/>
      <c r="J117" s="17" t="n"/>
      <c r="K117" s="17" t="n"/>
      <c r="L117" s="17" t="n"/>
      <c r="M117" s="17" t="n"/>
      <c r="N117" s="17" t="n"/>
      <c r="O117" s="22">
        <f>IF(A117="","",IF(I117&lt;&gt;"済","判定保留",IF(OR(N117="",J117="",K117="",L117="",J117="未確認",K117="未確認"),"判定保留",IF(AND(J117="はい",L117="無"),"入力エラー（GxP対象でSOP無）",IFERROR(INDEX('判定表'!$D:$D,MATCH("W|"&amp;N117&amp;"|"&amp;IF(OR(J117="はい",K117="はい",L117="無"),"あり","なし"),'判定表'!$A:$A,0)),"判定表にない組み合わせ")))))</f>
        <v/>
      </c>
      <c r="P117" s="22">
        <f>IF(A117="","",IF(C117="","対象外",IF(COUNTIFS('システム'!$A$4:$A$200,C117,'システム'!$N$4:$N$200,"移管")&gt;0,"移管",IF(COUNTIFS('システム'!$A$4:$A$200,C117,'システム'!$N$4:$N$200,"留保")&gt;0,"留保","判定保留"))))</f>
        <v/>
      </c>
      <c r="Q117" s="22">
        <f>IF(A117="","",IF(P117&lt;&gt;"移管","—",IF(N117="","判定保留",IFERROR(INDEX('判定表'!$E:$E,MATCH("W|"&amp;N117&amp;"|なし",'判定表'!$A:$A,0)),"判定表にない回答"))))</f>
        <v/>
      </c>
    </row>
    <row r="118">
      <c r="A118" s="17" t="n"/>
      <c r="B118" s="17" t="n"/>
      <c r="C118" s="17" t="n"/>
      <c r="D118" s="22">
        <f>IF(C118="","",IFERROR(INDEX('システム'!$B:$B,MATCH(C118,'システム'!$A:$A,0)),"システムが未登録"))</f>
        <v/>
      </c>
      <c r="E118" s="17" t="n"/>
      <c r="F118" s="17" t="n"/>
      <c r="G118" s="17" t="n"/>
      <c r="H118" s="43" t="n"/>
      <c r="I118" s="17" t="n"/>
      <c r="J118" s="17" t="n"/>
      <c r="K118" s="17" t="n"/>
      <c r="L118" s="17" t="n"/>
      <c r="M118" s="17" t="n"/>
      <c r="N118" s="17" t="n"/>
      <c r="O118" s="22">
        <f>IF(A118="","",IF(I118&lt;&gt;"済","判定保留",IF(OR(N118="",J118="",K118="",L118="",J118="未確認",K118="未確認"),"判定保留",IF(AND(J118="はい",L118="無"),"入力エラー（GxP対象でSOP無）",IFERROR(INDEX('判定表'!$D:$D,MATCH("W|"&amp;N118&amp;"|"&amp;IF(OR(J118="はい",K118="はい",L118="無"),"あり","なし"),'判定表'!$A:$A,0)),"判定表にない組み合わせ")))))</f>
        <v/>
      </c>
      <c r="P118" s="22">
        <f>IF(A118="","",IF(C118="","対象外",IF(COUNTIFS('システム'!$A$4:$A$200,C118,'システム'!$N$4:$N$200,"移管")&gt;0,"移管",IF(COUNTIFS('システム'!$A$4:$A$200,C118,'システム'!$N$4:$N$200,"留保")&gt;0,"留保","判定保留"))))</f>
        <v/>
      </c>
      <c r="Q118" s="22">
        <f>IF(A118="","",IF(P118&lt;&gt;"移管","—",IF(N118="","判定保留",IFERROR(INDEX('判定表'!$E:$E,MATCH("W|"&amp;N118&amp;"|なし",'判定表'!$A:$A,0)),"判定表にない回答"))))</f>
        <v/>
      </c>
    </row>
    <row r="119">
      <c r="A119" s="17" t="n"/>
      <c r="B119" s="17" t="n"/>
      <c r="C119" s="17" t="n"/>
      <c r="D119" s="22">
        <f>IF(C119="","",IFERROR(INDEX('システム'!$B:$B,MATCH(C119,'システム'!$A:$A,0)),"システムが未登録"))</f>
        <v/>
      </c>
      <c r="E119" s="17" t="n"/>
      <c r="F119" s="17" t="n"/>
      <c r="G119" s="17" t="n"/>
      <c r="H119" s="43" t="n"/>
      <c r="I119" s="17" t="n"/>
      <c r="J119" s="17" t="n"/>
      <c r="K119" s="17" t="n"/>
      <c r="L119" s="17" t="n"/>
      <c r="M119" s="17" t="n"/>
      <c r="N119" s="17" t="n"/>
      <c r="O119" s="22">
        <f>IF(A119="","",IF(I119&lt;&gt;"済","判定保留",IF(OR(N119="",J119="",K119="",L119="",J119="未確認",K119="未確認"),"判定保留",IF(AND(J119="はい",L119="無"),"入力エラー（GxP対象でSOP無）",IFERROR(INDEX('判定表'!$D:$D,MATCH("W|"&amp;N119&amp;"|"&amp;IF(OR(J119="はい",K119="はい",L119="無"),"あり","なし"),'判定表'!$A:$A,0)),"判定表にない組み合わせ")))))</f>
        <v/>
      </c>
      <c r="P119" s="22">
        <f>IF(A119="","",IF(C119="","対象外",IF(COUNTIFS('システム'!$A$4:$A$200,C119,'システム'!$N$4:$N$200,"移管")&gt;0,"移管",IF(COUNTIFS('システム'!$A$4:$A$200,C119,'システム'!$N$4:$N$200,"留保")&gt;0,"留保","判定保留"))))</f>
        <v/>
      </c>
      <c r="Q119" s="22">
        <f>IF(A119="","",IF(P119&lt;&gt;"移管","—",IF(N119="","判定保留",IFERROR(INDEX('判定表'!$E:$E,MATCH("W|"&amp;N119&amp;"|なし",'判定表'!$A:$A,0)),"判定表にない回答"))))</f>
        <v/>
      </c>
    </row>
    <row r="120">
      <c r="A120" s="17" t="n"/>
      <c r="B120" s="17" t="n"/>
      <c r="C120" s="17" t="n"/>
      <c r="D120" s="22">
        <f>IF(C120="","",IFERROR(INDEX('システム'!$B:$B,MATCH(C120,'システム'!$A:$A,0)),"システムが未登録"))</f>
        <v/>
      </c>
      <c r="E120" s="17" t="n"/>
      <c r="F120" s="17" t="n"/>
      <c r="G120" s="17" t="n"/>
      <c r="H120" s="43" t="n"/>
      <c r="I120" s="17" t="n"/>
      <c r="J120" s="17" t="n"/>
      <c r="K120" s="17" t="n"/>
      <c r="L120" s="17" t="n"/>
      <c r="M120" s="17" t="n"/>
      <c r="N120" s="17" t="n"/>
      <c r="O120" s="22">
        <f>IF(A120="","",IF(I120&lt;&gt;"済","判定保留",IF(OR(N120="",J120="",K120="",L120="",J120="未確認",K120="未確認"),"判定保留",IF(AND(J120="はい",L120="無"),"入力エラー（GxP対象でSOP無）",IFERROR(INDEX('判定表'!$D:$D,MATCH("W|"&amp;N120&amp;"|"&amp;IF(OR(J120="はい",K120="はい",L120="無"),"あり","なし"),'判定表'!$A:$A,0)),"判定表にない組み合わせ")))))</f>
        <v/>
      </c>
      <c r="P120" s="22">
        <f>IF(A120="","",IF(C120="","対象外",IF(COUNTIFS('システム'!$A$4:$A$200,C120,'システム'!$N$4:$N$200,"移管")&gt;0,"移管",IF(COUNTIFS('システム'!$A$4:$A$200,C120,'システム'!$N$4:$N$200,"留保")&gt;0,"留保","判定保留"))))</f>
        <v/>
      </c>
      <c r="Q120" s="22">
        <f>IF(A120="","",IF(P120&lt;&gt;"移管","—",IF(N120="","判定保留",IFERROR(INDEX('判定表'!$E:$E,MATCH("W|"&amp;N120&amp;"|なし",'判定表'!$A:$A,0)),"判定表にない回答"))))</f>
        <v/>
      </c>
    </row>
    <row r="121">
      <c r="A121" s="17" t="n"/>
      <c r="B121" s="17" t="n"/>
      <c r="C121" s="17" t="n"/>
      <c r="D121" s="22">
        <f>IF(C121="","",IFERROR(INDEX('システム'!$B:$B,MATCH(C121,'システム'!$A:$A,0)),"システムが未登録"))</f>
        <v/>
      </c>
      <c r="E121" s="17" t="n"/>
      <c r="F121" s="17" t="n"/>
      <c r="G121" s="17" t="n"/>
      <c r="H121" s="43" t="n"/>
      <c r="I121" s="17" t="n"/>
      <c r="J121" s="17" t="n"/>
      <c r="K121" s="17" t="n"/>
      <c r="L121" s="17" t="n"/>
      <c r="M121" s="17" t="n"/>
      <c r="N121" s="17" t="n"/>
      <c r="O121" s="22">
        <f>IF(A121="","",IF(I121&lt;&gt;"済","判定保留",IF(OR(N121="",J121="",K121="",L121="",J121="未確認",K121="未確認"),"判定保留",IF(AND(J121="はい",L121="無"),"入力エラー（GxP対象でSOP無）",IFERROR(INDEX('判定表'!$D:$D,MATCH("W|"&amp;N121&amp;"|"&amp;IF(OR(J121="はい",K121="はい",L121="無"),"あり","なし"),'判定表'!$A:$A,0)),"判定表にない組み合わせ")))))</f>
        <v/>
      </c>
      <c r="P121" s="22">
        <f>IF(A121="","",IF(C121="","対象外",IF(COUNTIFS('システム'!$A$4:$A$200,C121,'システム'!$N$4:$N$200,"移管")&gt;0,"移管",IF(COUNTIFS('システム'!$A$4:$A$200,C121,'システム'!$N$4:$N$200,"留保")&gt;0,"留保","判定保留"))))</f>
        <v/>
      </c>
      <c r="Q121" s="22">
        <f>IF(A121="","",IF(P121&lt;&gt;"移管","—",IF(N121="","判定保留",IFERROR(INDEX('判定表'!$E:$E,MATCH("W|"&amp;N121&amp;"|なし",'判定表'!$A:$A,0)),"判定表にない回答"))))</f>
        <v/>
      </c>
    </row>
    <row r="122">
      <c r="A122" s="17" t="n"/>
      <c r="B122" s="17" t="n"/>
      <c r="C122" s="17" t="n"/>
      <c r="D122" s="22">
        <f>IF(C122="","",IFERROR(INDEX('システム'!$B:$B,MATCH(C122,'システム'!$A:$A,0)),"システムが未登録"))</f>
        <v/>
      </c>
      <c r="E122" s="17" t="n"/>
      <c r="F122" s="17" t="n"/>
      <c r="G122" s="17" t="n"/>
      <c r="H122" s="43" t="n"/>
      <c r="I122" s="17" t="n"/>
      <c r="J122" s="17" t="n"/>
      <c r="K122" s="17" t="n"/>
      <c r="L122" s="17" t="n"/>
      <c r="M122" s="17" t="n"/>
      <c r="N122" s="17" t="n"/>
      <c r="O122" s="22">
        <f>IF(A122="","",IF(I122&lt;&gt;"済","判定保留",IF(OR(N122="",J122="",K122="",L122="",J122="未確認",K122="未確認"),"判定保留",IF(AND(J122="はい",L122="無"),"入力エラー（GxP対象でSOP無）",IFERROR(INDEX('判定表'!$D:$D,MATCH("W|"&amp;N122&amp;"|"&amp;IF(OR(J122="はい",K122="はい",L122="無"),"あり","なし"),'判定表'!$A:$A,0)),"判定表にない組み合わせ")))))</f>
        <v/>
      </c>
      <c r="P122" s="22">
        <f>IF(A122="","",IF(C122="","対象外",IF(COUNTIFS('システム'!$A$4:$A$200,C122,'システム'!$N$4:$N$200,"移管")&gt;0,"移管",IF(COUNTIFS('システム'!$A$4:$A$200,C122,'システム'!$N$4:$N$200,"留保")&gt;0,"留保","判定保留"))))</f>
        <v/>
      </c>
      <c r="Q122" s="22">
        <f>IF(A122="","",IF(P122&lt;&gt;"移管","—",IF(N122="","判定保留",IFERROR(INDEX('判定表'!$E:$E,MATCH("W|"&amp;N122&amp;"|なし",'判定表'!$A:$A,0)),"判定表にない回答"))))</f>
        <v/>
      </c>
    </row>
    <row r="123">
      <c r="A123" s="17" t="n"/>
      <c r="B123" s="17" t="n"/>
      <c r="C123" s="17" t="n"/>
      <c r="D123" s="22">
        <f>IF(C123="","",IFERROR(INDEX('システム'!$B:$B,MATCH(C123,'システム'!$A:$A,0)),"システムが未登録"))</f>
        <v/>
      </c>
      <c r="E123" s="17" t="n"/>
      <c r="F123" s="17" t="n"/>
      <c r="G123" s="17" t="n"/>
      <c r="H123" s="43" t="n"/>
      <c r="I123" s="17" t="n"/>
      <c r="J123" s="17" t="n"/>
      <c r="K123" s="17" t="n"/>
      <c r="L123" s="17" t="n"/>
      <c r="M123" s="17" t="n"/>
      <c r="N123" s="17" t="n"/>
      <c r="O123" s="22">
        <f>IF(A123="","",IF(I123&lt;&gt;"済","判定保留",IF(OR(N123="",J123="",K123="",L123="",J123="未確認",K123="未確認"),"判定保留",IF(AND(J123="はい",L123="無"),"入力エラー（GxP対象でSOP無）",IFERROR(INDEX('判定表'!$D:$D,MATCH("W|"&amp;N123&amp;"|"&amp;IF(OR(J123="はい",K123="はい",L123="無"),"あり","なし"),'判定表'!$A:$A,0)),"判定表にない組み合わせ")))))</f>
        <v/>
      </c>
      <c r="P123" s="22">
        <f>IF(A123="","",IF(C123="","対象外",IF(COUNTIFS('システム'!$A$4:$A$200,C123,'システム'!$N$4:$N$200,"移管")&gt;0,"移管",IF(COUNTIFS('システム'!$A$4:$A$200,C123,'システム'!$N$4:$N$200,"留保")&gt;0,"留保","判定保留"))))</f>
        <v/>
      </c>
      <c r="Q123" s="22">
        <f>IF(A123="","",IF(P123&lt;&gt;"移管","—",IF(N123="","判定保留",IFERROR(INDEX('判定表'!$E:$E,MATCH("W|"&amp;N123&amp;"|なし",'判定表'!$A:$A,0)),"判定表にない回答"))))</f>
        <v/>
      </c>
    </row>
    <row r="124">
      <c r="A124" s="17" t="n"/>
      <c r="B124" s="17" t="n"/>
      <c r="C124" s="17" t="n"/>
      <c r="D124" s="22">
        <f>IF(C124="","",IFERROR(INDEX('システム'!$B:$B,MATCH(C124,'システム'!$A:$A,0)),"システムが未登録"))</f>
        <v/>
      </c>
      <c r="E124" s="17" t="n"/>
      <c r="F124" s="17" t="n"/>
      <c r="G124" s="17" t="n"/>
      <c r="H124" s="43" t="n"/>
      <c r="I124" s="17" t="n"/>
      <c r="J124" s="17" t="n"/>
      <c r="K124" s="17" t="n"/>
      <c r="L124" s="17" t="n"/>
      <c r="M124" s="17" t="n"/>
      <c r="N124" s="17" t="n"/>
      <c r="O124" s="22">
        <f>IF(A124="","",IF(I124&lt;&gt;"済","判定保留",IF(OR(N124="",J124="",K124="",L124="",J124="未確認",K124="未確認"),"判定保留",IF(AND(J124="はい",L124="無"),"入力エラー（GxP対象でSOP無）",IFERROR(INDEX('判定表'!$D:$D,MATCH("W|"&amp;N124&amp;"|"&amp;IF(OR(J124="はい",K124="はい",L124="無"),"あり","なし"),'判定表'!$A:$A,0)),"判定表にない組み合わせ")))))</f>
        <v/>
      </c>
      <c r="P124" s="22">
        <f>IF(A124="","",IF(C124="","対象外",IF(COUNTIFS('システム'!$A$4:$A$200,C124,'システム'!$N$4:$N$200,"移管")&gt;0,"移管",IF(COUNTIFS('システム'!$A$4:$A$200,C124,'システム'!$N$4:$N$200,"留保")&gt;0,"留保","判定保留"))))</f>
        <v/>
      </c>
      <c r="Q124" s="22">
        <f>IF(A124="","",IF(P124&lt;&gt;"移管","—",IF(N124="","判定保留",IFERROR(INDEX('判定表'!$E:$E,MATCH("W|"&amp;N124&amp;"|なし",'判定表'!$A:$A,0)),"判定表にない回答"))))</f>
        <v/>
      </c>
    </row>
    <row r="125">
      <c r="A125" s="17" t="n"/>
      <c r="B125" s="17" t="n"/>
      <c r="C125" s="17" t="n"/>
      <c r="D125" s="22">
        <f>IF(C125="","",IFERROR(INDEX('システム'!$B:$B,MATCH(C125,'システム'!$A:$A,0)),"システムが未登録"))</f>
        <v/>
      </c>
      <c r="E125" s="17" t="n"/>
      <c r="F125" s="17" t="n"/>
      <c r="G125" s="17" t="n"/>
      <c r="H125" s="43" t="n"/>
      <c r="I125" s="17" t="n"/>
      <c r="J125" s="17" t="n"/>
      <c r="K125" s="17" t="n"/>
      <c r="L125" s="17" t="n"/>
      <c r="M125" s="17" t="n"/>
      <c r="N125" s="17" t="n"/>
      <c r="O125" s="22">
        <f>IF(A125="","",IF(I125&lt;&gt;"済","判定保留",IF(OR(N125="",J125="",K125="",L125="",J125="未確認",K125="未確認"),"判定保留",IF(AND(J125="はい",L125="無"),"入力エラー（GxP対象でSOP無）",IFERROR(INDEX('判定表'!$D:$D,MATCH("W|"&amp;N125&amp;"|"&amp;IF(OR(J125="はい",K125="はい",L125="無"),"あり","なし"),'判定表'!$A:$A,0)),"判定表にない組み合わせ")))))</f>
        <v/>
      </c>
      <c r="P125" s="22">
        <f>IF(A125="","",IF(C125="","対象外",IF(COUNTIFS('システム'!$A$4:$A$200,C125,'システム'!$N$4:$N$200,"移管")&gt;0,"移管",IF(COUNTIFS('システム'!$A$4:$A$200,C125,'システム'!$N$4:$N$200,"留保")&gt;0,"留保","判定保留"))))</f>
        <v/>
      </c>
      <c r="Q125" s="22">
        <f>IF(A125="","",IF(P125&lt;&gt;"移管","—",IF(N125="","判定保留",IFERROR(INDEX('判定表'!$E:$E,MATCH("W|"&amp;N125&amp;"|なし",'判定表'!$A:$A,0)),"判定表にない回答"))))</f>
        <v/>
      </c>
    </row>
    <row r="126">
      <c r="A126" s="17" t="n"/>
      <c r="B126" s="17" t="n"/>
      <c r="C126" s="17" t="n"/>
      <c r="D126" s="22">
        <f>IF(C126="","",IFERROR(INDEX('システム'!$B:$B,MATCH(C126,'システム'!$A:$A,0)),"システムが未登録"))</f>
        <v/>
      </c>
      <c r="E126" s="17" t="n"/>
      <c r="F126" s="17" t="n"/>
      <c r="G126" s="17" t="n"/>
      <c r="H126" s="43" t="n"/>
      <c r="I126" s="17" t="n"/>
      <c r="J126" s="17" t="n"/>
      <c r="K126" s="17" t="n"/>
      <c r="L126" s="17" t="n"/>
      <c r="M126" s="17" t="n"/>
      <c r="N126" s="17" t="n"/>
      <c r="O126" s="22">
        <f>IF(A126="","",IF(I126&lt;&gt;"済","判定保留",IF(OR(N126="",J126="",K126="",L126="",J126="未確認",K126="未確認"),"判定保留",IF(AND(J126="はい",L126="無"),"入力エラー（GxP対象でSOP無）",IFERROR(INDEX('判定表'!$D:$D,MATCH("W|"&amp;N126&amp;"|"&amp;IF(OR(J126="はい",K126="はい",L126="無"),"あり","なし"),'判定表'!$A:$A,0)),"判定表にない組み合わせ")))))</f>
        <v/>
      </c>
      <c r="P126" s="22">
        <f>IF(A126="","",IF(C126="","対象外",IF(COUNTIFS('システム'!$A$4:$A$200,C126,'システム'!$N$4:$N$200,"移管")&gt;0,"移管",IF(COUNTIFS('システム'!$A$4:$A$200,C126,'システム'!$N$4:$N$200,"留保")&gt;0,"留保","判定保留"))))</f>
        <v/>
      </c>
      <c r="Q126" s="22">
        <f>IF(A126="","",IF(P126&lt;&gt;"移管","—",IF(N126="","判定保留",IFERROR(INDEX('判定表'!$E:$E,MATCH("W|"&amp;N126&amp;"|なし",'判定表'!$A:$A,0)),"判定表にない回答"))))</f>
        <v/>
      </c>
    </row>
    <row r="127">
      <c r="A127" s="17" t="n"/>
      <c r="B127" s="17" t="n"/>
      <c r="C127" s="17" t="n"/>
      <c r="D127" s="22">
        <f>IF(C127="","",IFERROR(INDEX('システム'!$B:$B,MATCH(C127,'システム'!$A:$A,0)),"システムが未登録"))</f>
        <v/>
      </c>
      <c r="E127" s="17" t="n"/>
      <c r="F127" s="17" t="n"/>
      <c r="G127" s="17" t="n"/>
      <c r="H127" s="43" t="n"/>
      <c r="I127" s="17" t="n"/>
      <c r="J127" s="17" t="n"/>
      <c r="K127" s="17" t="n"/>
      <c r="L127" s="17" t="n"/>
      <c r="M127" s="17" t="n"/>
      <c r="N127" s="17" t="n"/>
      <c r="O127" s="22">
        <f>IF(A127="","",IF(I127&lt;&gt;"済","判定保留",IF(OR(N127="",J127="",K127="",L127="",J127="未確認",K127="未確認"),"判定保留",IF(AND(J127="はい",L127="無"),"入力エラー（GxP対象でSOP無）",IFERROR(INDEX('判定表'!$D:$D,MATCH("W|"&amp;N127&amp;"|"&amp;IF(OR(J127="はい",K127="はい",L127="無"),"あり","なし"),'判定表'!$A:$A,0)),"判定表にない組み合わせ")))))</f>
        <v/>
      </c>
      <c r="P127" s="22">
        <f>IF(A127="","",IF(C127="","対象外",IF(COUNTIFS('システム'!$A$4:$A$200,C127,'システム'!$N$4:$N$200,"移管")&gt;0,"移管",IF(COUNTIFS('システム'!$A$4:$A$200,C127,'システム'!$N$4:$N$200,"留保")&gt;0,"留保","判定保留"))))</f>
        <v/>
      </c>
      <c r="Q127" s="22">
        <f>IF(A127="","",IF(P127&lt;&gt;"移管","—",IF(N127="","判定保留",IFERROR(INDEX('判定表'!$E:$E,MATCH("W|"&amp;N127&amp;"|なし",'判定表'!$A:$A,0)),"判定表にない回答"))))</f>
        <v/>
      </c>
    </row>
    <row r="128">
      <c r="A128" s="17" t="n"/>
      <c r="B128" s="17" t="n"/>
      <c r="C128" s="17" t="n"/>
      <c r="D128" s="22">
        <f>IF(C128="","",IFERROR(INDEX('システム'!$B:$B,MATCH(C128,'システム'!$A:$A,0)),"システムが未登録"))</f>
        <v/>
      </c>
      <c r="E128" s="17" t="n"/>
      <c r="F128" s="17" t="n"/>
      <c r="G128" s="17" t="n"/>
      <c r="H128" s="43" t="n"/>
      <c r="I128" s="17" t="n"/>
      <c r="J128" s="17" t="n"/>
      <c r="K128" s="17" t="n"/>
      <c r="L128" s="17" t="n"/>
      <c r="M128" s="17" t="n"/>
      <c r="N128" s="17" t="n"/>
      <c r="O128" s="22">
        <f>IF(A128="","",IF(I128&lt;&gt;"済","判定保留",IF(OR(N128="",J128="",K128="",L128="",J128="未確認",K128="未確認"),"判定保留",IF(AND(J128="はい",L128="無"),"入力エラー（GxP対象でSOP無）",IFERROR(INDEX('判定表'!$D:$D,MATCH("W|"&amp;N128&amp;"|"&amp;IF(OR(J128="はい",K128="はい",L128="無"),"あり","なし"),'判定表'!$A:$A,0)),"判定表にない組み合わせ")))))</f>
        <v/>
      </c>
      <c r="P128" s="22">
        <f>IF(A128="","",IF(C128="","対象外",IF(COUNTIFS('システム'!$A$4:$A$200,C128,'システム'!$N$4:$N$200,"移管")&gt;0,"移管",IF(COUNTIFS('システム'!$A$4:$A$200,C128,'システム'!$N$4:$N$200,"留保")&gt;0,"留保","判定保留"))))</f>
        <v/>
      </c>
      <c r="Q128" s="22">
        <f>IF(A128="","",IF(P128&lt;&gt;"移管","—",IF(N128="","判定保留",IFERROR(INDEX('判定表'!$E:$E,MATCH("W|"&amp;N128&amp;"|なし",'判定表'!$A:$A,0)),"判定表にない回答"))))</f>
        <v/>
      </c>
    </row>
    <row r="129">
      <c r="A129" s="17" t="n"/>
      <c r="B129" s="17" t="n"/>
      <c r="C129" s="17" t="n"/>
      <c r="D129" s="22">
        <f>IF(C129="","",IFERROR(INDEX('システム'!$B:$B,MATCH(C129,'システム'!$A:$A,0)),"システムが未登録"))</f>
        <v/>
      </c>
      <c r="E129" s="17" t="n"/>
      <c r="F129" s="17" t="n"/>
      <c r="G129" s="17" t="n"/>
      <c r="H129" s="43" t="n"/>
      <c r="I129" s="17" t="n"/>
      <c r="J129" s="17" t="n"/>
      <c r="K129" s="17" t="n"/>
      <c r="L129" s="17" t="n"/>
      <c r="M129" s="17" t="n"/>
      <c r="N129" s="17" t="n"/>
      <c r="O129" s="22">
        <f>IF(A129="","",IF(I129&lt;&gt;"済","判定保留",IF(OR(N129="",J129="",K129="",L129="",J129="未確認",K129="未確認"),"判定保留",IF(AND(J129="はい",L129="無"),"入力エラー（GxP対象でSOP無）",IFERROR(INDEX('判定表'!$D:$D,MATCH("W|"&amp;N129&amp;"|"&amp;IF(OR(J129="はい",K129="はい",L129="無"),"あり","なし"),'判定表'!$A:$A,0)),"判定表にない組み合わせ")))))</f>
        <v/>
      </c>
      <c r="P129" s="22">
        <f>IF(A129="","",IF(C129="","対象外",IF(COUNTIFS('システム'!$A$4:$A$200,C129,'システム'!$N$4:$N$200,"移管")&gt;0,"移管",IF(COUNTIFS('システム'!$A$4:$A$200,C129,'システム'!$N$4:$N$200,"留保")&gt;0,"留保","判定保留"))))</f>
        <v/>
      </c>
      <c r="Q129" s="22">
        <f>IF(A129="","",IF(P129&lt;&gt;"移管","—",IF(N129="","判定保留",IFERROR(INDEX('判定表'!$E:$E,MATCH("W|"&amp;N129&amp;"|なし",'判定表'!$A:$A,0)),"判定表にない回答"))))</f>
        <v/>
      </c>
    </row>
    <row r="130">
      <c r="A130" s="17" t="n"/>
      <c r="B130" s="17" t="n"/>
      <c r="C130" s="17" t="n"/>
      <c r="D130" s="22">
        <f>IF(C130="","",IFERROR(INDEX('システム'!$B:$B,MATCH(C130,'システム'!$A:$A,0)),"システムが未登録"))</f>
        <v/>
      </c>
      <c r="E130" s="17" t="n"/>
      <c r="F130" s="17" t="n"/>
      <c r="G130" s="17" t="n"/>
      <c r="H130" s="43" t="n"/>
      <c r="I130" s="17" t="n"/>
      <c r="J130" s="17" t="n"/>
      <c r="K130" s="17" t="n"/>
      <c r="L130" s="17" t="n"/>
      <c r="M130" s="17" t="n"/>
      <c r="N130" s="17" t="n"/>
      <c r="O130" s="22">
        <f>IF(A130="","",IF(I130&lt;&gt;"済","判定保留",IF(OR(N130="",J130="",K130="",L130="",J130="未確認",K130="未確認"),"判定保留",IF(AND(J130="はい",L130="無"),"入力エラー（GxP対象でSOP無）",IFERROR(INDEX('判定表'!$D:$D,MATCH("W|"&amp;N130&amp;"|"&amp;IF(OR(J130="はい",K130="はい",L130="無"),"あり","なし"),'判定表'!$A:$A,0)),"判定表にない組み合わせ")))))</f>
        <v/>
      </c>
      <c r="P130" s="22">
        <f>IF(A130="","",IF(C130="","対象外",IF(COUNTIFS('システム'!$A$4:$A$200,C130,'システム'!$N$4:$N$200,"移管")&gt;0,"移管",IF(COUNTIFS('システム'!$A$4:$A$200,C130,'システム'!$N$4:$N$200,"留保")&gt;0,"留保","判定保留"))))</f>
        <v/>
      </c>
      <c r="Q130" s="22">
        <f>IF(A130="","",IF(P130&lt;&gt;"移管","—",IF(N130="","判定保留",IFERROR(INDEX('判定表'!$E:$E,MATCH("W|"&amp;N130&amp;"|なし",'判定表'!$A:$A,0)),"判定表にない回答"))))</f>
        <v/>
      </c>
    </row>
    <row r="131">
      <c r="A131" s="17" t="n"/>
      <c r="B131" s="17" t="n"/>
      <c r="C131" s="17" t="n"/>
      <c r="D131" s="22">
        <f>IF(C131="","",IFERROR(INDEX('システム'!$B:$B,MATCH(C131,'システム'!$A:$A,0)),"システムが未登録"))</f>
        <v/>
      </c>
      <c r="E131" s="17" t="n"/>
      <c r="F131" s="17" t="n"/>
      <c r="G131" s="17" t="n"/>
      <c r="H131" s="43" t="n"/>
      <c r="I131" s="17" t="n"/>
      <c r="J131" s="17" t="n"/>
      <c r="K131" s="17" t="n"/>
      <c r="L131" s="17" t="n"/>
      <c r="M131" s="17" t="n"/>
      <c r="N131" s="17" t="n"/>
      <c r="O131" s="22">
        <f>IF(A131="","",IF(I131&lt;&gt;"済","判定保留",IF(OR(N131="",J131="",K131="",L131="",J131="未確認",K131="未確認"),"判定保留",IF(AND(J131="はい",L131="無"),"入力エラー（GxP対象でSOP無）",IFERROR(INDEX('判定表'!$D:$D,MATCH("W|"&amp;N131&amp;"|"&amp;IF(OR(J131="はい",K131="はい",L131="無"),"あり","なし"),'判定表'!$A:$A,0)),"判定表にない組み合わせ")))))</f>
        <v/>
      </c>
      <c r="P131" s="22">
        <f>IF(A131="","",IF(C131="","対象外",IF(COUNTIFS('システム'!$A$4:$A$200,C131,'システム'!$N$4:$N$200,"移管")&gt;0,"移管",IF(COUNTIFS('システム'!$A$4:$A$200,C131,'システム'!$N$4:$N$200,"留保")&gt;0,"留保","判定保留"))))</f>
        <v/>
      </c>
      <c r="Q131" s="22">
        <f>IF(A131="","",IF(P131&lt;&gt;"移管","—",IF(N131="","判定保留",IFERROR(INDEX('判定表'!$E:$E,MATCH("W|"&amp;N131&amp;"|なし",'判定表'!$A:$A,0)),"判定表にない回答"))))</f>
        <v/>
      </c>
    </row>
    <row r="132">
      <c r="A132" s="17" t="n"/>
      <c r="B132" s="17" t="n"/>
      <c r="C132" s="17" t="n"/>
      <c r="D132" s="22">
        <f>IF(C132="","",IFERROR(INDEX('システム'!$B:$B,MATCH(C132,'システム'!$A:$A,0)),"システムが未登録"))</f>
        <v/>
      </c>
      <c r="E132" s="17" t="n"/>
      <c r="F132" s="17" t="n"/>
      <c r="G132" s="17" t="n"/>
      <c r="H132" s="43" t="n"/>
      <c r="I132" s="17" t="n"/>
      <c r="J132" s="17" t="n"/>
      <c r="K132" s="17" t="n"/>
      <c r="L132" s="17" t="n"/>
      <c r="M132" s="17" t="n"/>
      <c r="N132" s="17" t="n"/>
      <c r="O132" s="22">
        <f>IF(A132="","",IF(I132&lt;&gt;"済","判定保留",IF(OR(N132="",J132="",K132="",L132="",J132="未確認",K132="未確認"),"判定保留",IF(AND(J132="はい",L132="無"),"入力エラー（GxP対象でSOP無）",IFERROR(INDEX('判定表'!$D:$D,MATCH("W|"&amp;N132&amp;"|"&amp;IF(OR(J132="はい",K132="はい",L132="無"),"あり","なし"),'判定表'!$A:$A,0)),"判定表にない組み合わせ")))))</f>
        <v/>
      </c>
      <c r="P132" s="22">
        <f>IF(A132="","",IF(C132="","対象外",IF(COUNTIFS('システム'!$A$4:$A$200,C132,'システム'!$N$4:$N$200,"移管")&gt;0,"移管",IF(COUNTIFS('システム'!$A$4:$A$200,C132,'システム'!$N$4:$N$200,"留保")&gt;0,"留保","判定保留"))))</f>
        <v/>
      </c>
      <c r="Q132" s="22">
        <f>IF(A132="","",IF(P132&lt;&gt;"移管","—",IF(N132="","判定保留",IFERROR(INDEX('判定表'!$E:$E,MATCH("W|"&amp;N132&amp;"|なし",'判定表'!$A:$A,0)),"判定表にない回答"))))</f>
        <v/>
      </c>
    </row>
    <row r="133">
      <c r="A133" s="17" t="n"/>
      <c r="B133" s="17" t="n"/>
      <c r="C133" s="17" t="n"/>
      <c r="D133" s="22">
        <f>IF(C133="","",IFERROR(INDEX('システム'!$B:$B,MATCH(C133,'システム'!$A:$A,0)),"システムが未登録"))</f>
        <v/>
      </c>
      <c r="E133" s="17" t="n"/>
      <c r="F133" s="17" t="n"/>
      <c r="G133" s="17" t="n"/>
      <c r="H133" s="43" t="n"/>
      <c r="I133" s="17" t="n"/>
      <c r="J133" s="17" t="n"/>
      <c r="K133" s="17" t="n"/>
      <c r="L133" s="17" t="n"/>
      <c r="M133" s="17" t="n"/>
      <c r="N133" s="17" t="n"/>
      <c r="O133" s="22">
        <f>IF(A133="","",IF(I133&lt;&gt;"済","判定保留",IF(OR(N133="",J133="",K133="",L133="",J133="未確認",K133="未確認"),"判定保留",IF(AND(J133="はい",L133="無"),"入力エラー（GxP対象でSOP無）",IFERROR(INDEX('判定表'!$D:$D,MATCH("W|"&amp;N133&amp;"|"&amp;IF(OR(J133="はい",K133="はい",L133="無"),"あり","なし"),'判定表'!$A:$A,0)),"判定表にない組み合わせ")))))</f>
        <v/>
      </c>
      <c r="P133" s="22">
        <f>IF(A133="","",IF(C133="","対象外",IF(COUNTIFS('システム'!$A$4:$A$200,C133,'システム'!$N$4:$N$200,"移管")&gt;0,"移管",IF(COUNTIFS('システム'!$A$4:$A$200,C133,'システム'!$N$4:$N$200,"留保")&gt;0,"留保","判定保留"))))</f>
        <v/>
      </c>
      <c r="Q133" s="22">
        <f>IF(A133="","",IF(P133&lt;&gt;"移管","—",IF(N133="","判定保留",IFERROR(INDEX('判定表'!$E:$E,MATCH("W|"&amp;N133&amp;"|なし",'判定表'!$A:$A,0)),"判定表にない回答"))))</f>
        <v/>
      </c>
    </row>
    <row r="134">
      <c r="A134" s="17" t="n"/>
      <c r="B134" s="17" t="n"/>
      <c r="C134" s="17" t="n"/>
      <c r="D134" s="22">
        <f>IF(C134="","",IFERROR(INDEX('システム'!$B:$B,MATCH(C134,'システム'!$A:$A,0)),"システムが未登録"))</f>
        <v/>
      </c>
      <c r="E134" s="17" t="n"/>
      <c r="F134" s="17" t="n"/>
      <c r="G134" s="17" t="n"/>
      <c r="H134" s="43" t="n"/>
      <c r="I134" s="17" t="n"/>
      <c r="J134" s="17" t="n"/>
      <c r="K134" s="17" t="n"/>
      <c r="L134" s="17" t="n"/>
      <c r="M134" s="17" t="n"/>
      <c r="N134" s="17" t="n"/>
      <c r="O134" s="22">
        <f>IF(A134="","",IF(I134&lt;&gt;"済","判定保留",IF(OR(N134="",J134="",K134="",L134="",J134="未確認",K134="未確認"),"判定保留",IF(AND(J134="はい",L134="無"),"入力エラー（GxP対象でSOP無）",IFERROR(INDEX('判定表'!$D:$D,MATCH("W|"&amp;N134&amp;"|"&amp;IF(OR(J134="はい",K134="はい",L134="無"),"あり","なし"),'判定表'!$A:$A,0)),"判定表にない組み合わせ")))))</f>
        <v/>
      </c>
      <c r="P134" s="22">
        <f>IF(A134="","",IF(C134="","対象外",IF(COUNTIFS('システム'!$A$4:$A$200,C134,'システム'!$N$4:$N$200,"移管")&gt;0,"移管",IF(COUNTIFS('システム'!$A$4:$A$200,C134,'システム'!$N$4:$N$200,"留保")&gt;0,"留保","判定保留"))))</f>
        <v/>
      </c>
      <c r="Q134" s="22">
        <f>IF(A134="","",IF(P134&lt;&gt;"移管","—",IF(N134="","判定保留",IFERROR(INDEX('判定表'!$E:$E,MATCH("W|"&amp;N134&amp;"|なし",'判定表'!$A:$A,0)),"判定表にない回答"))))</f>
        <v/>
      </c>
    </row>
    <row r="135">
      <c r="A135" s="17" t="n"/>
      <c r="B135" s="17" t="n"/>
      <c r="C135" s="17" t="n"/>
      <c r="D135" s="22">
        <f>IF(C135="","",IFERROR(INDEX('システム'!$B:$B,MATCH(C135,'システム'!$A:$A,0)),"システムが未登録"))</f>
        <v/>
      </c>
      <c r="E135" s="17" t="n"/>
      <c r="F135" s="17" t="n"/>
      <c r="G135" s="17" t="n"/>
      <c r="H135" s="43" t="n"/>
      <c r="I135" s="17" t="n"/>
      <c r="J135" s="17" t="n"/>
      <c r="K135" s="17" t="n"/>
      <c r="L135" s="17" t="n"/>
      <c r="M135" s="17" t="n"/>
      <c r="N135" s="17" t="n"/>
      <c r="O135" s="22">
        <f>IF(A135="","",IF(I135&lt;&gt;"済","判定保留",IF(OR(N135="",J135="",K135="",L135="",J135="未確認",K135="未確認"),"判定保留",IF(AND(J135="はい",L135="無"),"入力エラー（GxP対象でSOP無）",IFERROR(INDEX('判定表'!$D:$D,MATCH("W|"&amp;N135&amp;"|"&amp;IF(OR(J135="はい",K135="はい",L135="無"),"あり","なし"),'判定表'!$A:$A,0)),"判定表にない組み合わせ")))))</f>
        <v/>
      </c>
      <c r="P135" s="22">
        <f>IF(A135="","",IF(C135="","対象外",IF(COUNTIFS('システム'!$A$4:$A$200,C135,'システム'!$N$4:$N$200,"移管")&gt;0,"移管",IF(COUNTIFS('システム'!$A$4:$A$200,C135,'システム'!$N$4:$N$200,"留保")&gt;0,"留保","判定保留"))))</f>
        <v/>
      </c>
      <c r="Q135" s="22">
        <f>IF(A135="","",IF(P135&lt;&gt;"移管","—",IF(N135="","判定保留",IFERROR(INDEX('判定表'!$E:$E,MATCH("W|"&amp;N135&amp;"|なし",'判定表'!$A:$A,0)),"判定表にない回答"))))</f>
        <v/>
      </c>
    </row>
    <row r="136">
      <c r="A136" s="17" t="n"/>
      <c r="B136" s="17" t="n"/>
      <c r="C136" s="17" t="n"/>
      <c r="D136" s="22">
        <f>IF(C136="","",IFERROR(INDEX('システム'!$B:$B,MATCH(C136,'システム'!$A:$A,0)),"システムが未登録"))</f>
        <v/>
      </c>
      <c r="E136" s="17" t="n"/>
      <c r="F136" s="17" t="n"/>
      <c r="G136" s="17" t="n"/>
      <c r="H136" s="43" t="n"/>
      <c r="I136" s="17" t="n"/>
      <c r="J136" s="17" t="n"/>
      <c r="K136" s="17" t="n"/>
      <c r="L136" s="17" t="n"/>
      <c r="M136" s="17" t="n"/>
      <c r="N136" s="17" t="n"/>
      <c r="O136" s="22">
        <f>IF(A136="","",IF(I136&lt;&gt;"済","判定保留",IF(OR(N136="",J136="",K136="",L136="",J136="未確認",K136="未確認"),"判定保留",IF(AND(J136="はい",L136="無"),"入力エラー（GxP対象でSOP無）",IFERROR(INDEX('判定表'!$D:$D,MATCH("W|"&amp;N136&amp;"|"&amp;IF(OR(J136="はい",K136="はい",L136="無"),"あり","なし"),'判定表'!$A:$A,0)),"判定表にない組み合わせ")))))</f>
        <v/>
      </c>
      <c r="P136" s="22">
        <f>IF(A136="","",IF(C136="","対象外",IF(COUNTIFS('システム'!$A$4:$A$200,C136,'システム'!$N$4:$N$200,"移管")&gt;0,"移管",IF(COUNTIFS('システム'!$A$4:$A$200,C136,'システム'!$N$4:$N$200,"留保")&gt;0,"留保","判定保留"))))</f>
        <v/>
      </c>
      <c r="Q136" s="22">
        <f>IF(A136="","",IF(P136&lt;&gt;"移管","—",IF(N136="","判定保留",IFERROR(INDEX('判定表'!$E:$E,MATCH("W|"&amp;N136&amp;"|なし",'判定表'!$A:$A,0)),"判定表にない回答"))))</f>
        <v/>
      </c>
    </row>
    <row r="137">
      <c r="A137" s="17" t="n"/>
      <c r="B137" s="17" t="n"/>
      <c r="C137" s="17" t="n"/>
      <c r="D137" s="22">
        <f>IF(C137="","",IFERROR(INDEX('システム'!$B:$B,MATCH(C137,'システム'!$A:$A,0)),"システムが未登録"))</f>
        <v/>
      </c>
      <c r="E137" s="17" t="n"/>
      <c r="F137" s="17" t="n"/>
      <c r="G137" s="17" t="n"/>
      <c r="H137" s="43" t="n"/>
      <c r="I137" s="17" t="n"/>
      <c r="J137" s="17" t="n"/>
      <c r="K137" s="17" t="n"/>
      <c r="L137" s="17" t="n"/>
      <c r="M137" s="17" t="n"/>
      <c r="N137" s="17" t="n"/>
      <c r="O137" s="22">
        <f>IF(A137="","",IF(I137&lt;&gt;"済","判定保留",IF(OR(N137="",J137="",K137="",L137="",J137="未確認",K137="未確認"),"判定保留",IF(AND(J137="はい",L137="無"),"入力エラー（GxP対象でSOP無）",IFERROR(INDEX('判定表'!$D:$D,MATCH("W|"&amp;N137&amp;"|"&amp;IF(OR(J137="はい",K137="はい",L137="無"),"あり","なし"),'判定表'!$A:$A,0)),"判定表にない組み合わせ")))))</f>
        <v/>
      </c>
      <c r="P137" s="22">
        <f>IF(A137="","",IF(C137="","対象外",IF(COUNTIFS('システム'!$A$4:$A$200,C137,'システム'!$N$4:$N$200,"移管")&gt;0,"移管",IF(COUNTIFS('システム'!$A$4:$A$200,C137,'システム'!$N$4:$N$200,"留保")&gt;0,"留保","判定保留"))))</f>
        <v/>
      </c>
      <c r="Q137" s="22">
        <f>IF(A137="","",IF(P137&lt;&gt;"移管","—",IF(N137="","判定保留",IFERROR(INDEX('判定表'!$E:$E,MATCH("W|"&amp;N137&amp;"|なし",'判定表'!$A:$A,0)),"判定表にない回答"))))</f>
        <v/>
      </c>
    </row>
    <row r="138">
      <c r="A138" s="17" t="n"/>
      <c r="B138" s="17" t="n"/>
      <c r="C138" s="17" t="n"/>
      <c r="D138" s="22">
        <f>IF(C138="","",IFERROR(INDEX('システム'!$B:$B,MATCH(C138,'システム'!$A:$A,0)),"システムが未登録"))</f>
        <v/>
      </c>
      <c r="E138" s="17" t="n"/>
      <c r="F138" s="17" t="n"/>
      <c r="G138" s="17" t="n"/>
      <c r="H138" s="43" t="n"/>
      <c r="I138" s="17" t="n"/>
      <c r="J138" s="17" t="n"/>
      <c r="K138" s="17" t="n"/>
      <c r="L138" s="17" t="n"/>
      <c r="M138" s="17" t="n"/>
      <c r="N138" s="17" t="n"/>
      <c r="O138" s="22">
        <f>IF(A138="","",IF(I138&lt;&gt;"済","判定保留",IF(OR(N138="",J138="",K138="",L138="",J138="未確認",K138="未確認"),"判定保留",IF(AND(J138="はい",L138="無"),"入力エラー（GxP対象でSOP無）",IFERROR(INDEX('判定表'!$D:$D,MATCH("W|"&amp;N138&amp;"|"&amp;IF(OR(J138="はい",K138="はい",L138="無"),"あり","なし"),'判定表'!$A:$A,0)),"判定表にない組み合わせ")))))</f>
        <v/>
      </c>
      <c r="P138" s="22">
        <f>IF(A138="","",IF(C138="","対象外",IF(COUNTIFS('システム'!$A$4:$A$200,C138,'システム'!$N$4:$N$200,"移管")&gt;0,"移管",IF(COUNTIFS('システム'!$A$4:$A$200,C138,'システム'!$N$4:$N$200,"留保")&gt;0,"留保","判定保留"))))</f>
        <v/>
      </c>
      <c r="Q138" s="22">
        <f>IF(A138="","",IF(P138&lt;&gt;"移管","—",IF(N138="","判定保留",IFERROR(INDEX('判定表'!$E:$E,MATCH("W|"&amp;N138&amp;"|なし",'判定表'!$A:$A,0)),"判定表にない回答"))))</f>
        <v/>
      </c>
    </row>
    <row r="139">
      <c r="A139" s="17" t="n"/>
      <c r="B139" s="17" t="n"/>
      <c r="C139" s="17" t="n"/>
      <c r="D139" s="22">
        <f>IF(C139="","",IFERROR(INDEX('システム'!$B:$B,MATCH(C139,'システム'!$A:$A,0)),"システムが未登録"))</f>
        <v/>
      </c>
      <c r="E139" s="17" t="n"/>
      <c r="F139" s="17" t="n"/>
      <c r="G139" s="17" t="n"/>
      <c r="H139" s="43" t="n"/>
      <c r="I139" s="17" t="n"/>
      <c r="J139" s="17" t="n"/>
      <c r="K139" s="17" t="n"/>
      <c r="L139" s="17" t="n"/>
      <c r="M139" s="17" t="n"/>
      <c r="N139" s="17" t="n"/>
      <c r="O139" s="22">
        <f>IF(A139="","",IF(I139&lt;&gt;"済","判定保留",IF(OR(N139="",J139="",K139="",L139="",J139="未確認",K139="未確認"),"判定保留",IF(AND(J139="はい",L139="無"),"入力エラー（GxP対象でSOP無）",IFERROR(INDEX('判定表'!$D:$D,MATCH("W|"&amp;N139&amp;"|"&amp;IF(OR(J139="はい",K139="はい",L139="無"),"あり","なし"),'判定表'!$A:$A,0)),"判定表にない組み合わせ")))))</f>
        <v/>
      </c>
      <c r="P139" s="22">
        <f>IF(A139="","",IF(C139="","対象外",IF(COUNTIFS('システム'!$A$4:$A$200,C139,'システム'!$N$4:$N$200,"移管")&gt;0,"移管",IF(COUNTIFS('システム'!$A$4:$A$200,C139,'システム'!$N$4:$N$200,"留保")&gt;0,"留保","判定保留"))))</f>
        <v/>
      </c>
      <c r="Q139" s="22">
        <f>IF(A139="","",IF(P139&lt;&gt;"移管","—",IF(N139="","判定保留",IFERROR(INDEX('判定表'!$E:$E,MATCH("W|"&amp;N139&amp;"|なし",'判定表'!$A:$A,0)),"判定表にない回答"))))</f>
        <v/>
      </c>
    </row>
    <row r="140">
      <c r="A140" s="17" t="n"/>
      <c r="B140" s="17" t="n"/>
      <c r="C140" s="17" t="n"/>
      <c r="D140" s="22">
        <f>IF(C140="","",IFERROR(INDEX('システム'!$B:$B,MATCH(C140,'システム'!$A:$A,0)),"システムが未登録"))</f>
        <v/>
      </c>
      <c r="E140" s="17" t="n"/>
      <c r="F140" s="17" t="n"/>
      <c r="G140" s="17" t="n"/>
      <c r="H140" s="43" t="n"/>
      <c r="I140" s="17" t="n"/>
      <c r="J140" s="17" t="n"/>
      <c r="K140" s="17" t="n"/>
      <c r="L140" s="17" t="n"/>
      <c r="M140" s="17" t="n"/>
      <c r="N140" s="17" t="n"/>
      <c r="O140" s="22">
        <f>IF(A140="","",IF(I140&lt;&gt;"済","判定保留",IF(OR(N140="",J140="",K140="",L140="",J140="未確認",K140="未確認"),"判定保留",IF(AND(J140="はい",L140="無"),"入力エラー（GxP対象でSOP無）",IFERROR(INDEX('判定表'!$D:$D,MATCH("W|"&amp;N140&amp;"|"&amp;IF(OR(J140="はい",K140="はい",L140="無"),"あり","なし"),'判定表'!$A:$A,0)),"判定表にない組み合わせ")))))</f>
        <v/>
      </c>
      <c r="P140" s="22">
        <f>IF(A140="","",IF(C140="","対象外",IF(COUNTIFS('システム'!$A$4:$A$200,C140,'システム'!$N$4:$N$200,"移管")&gt;0,"移管",IF(COUNTIFS('システム'!$A$4:$A$200,C140,'システム'!$N$4:$N$200,"留保")&gt;0,"留保","判定保留"))))</f>
        <v/>
      </c>
      <c r="Q140" s="22">
        <f>IF(A140="","",IF(P140&lt;&gt;"移管","—",IF(N140="","判定保留",IFERROR(INDEX('判定表'!$E:$E,MATCH("W|"&amp;N140&amp;"|なし",'判定表'!$A:$A,0)),"判定表にない回答"))))</f>
        <v/>
      </c>
    </row>
    <row r="141">
      <c r="A141" s="17" t="n"/>
      <c r="B141" s="17" t="n"/>
      <c r="C141" s="17" t="n"/>
      <c r="D141" s="22">
        <f>IF(C141="","",IFERROR(INDEX('システム'!$B:$B,MATCH(C141,'システム'!$A:$A,0)),"システムが未登録"))</f>
        <v/>
      </c>
      <c r="E141" s="17" t="n"/>
      <c r="F141" s="17" t="n"/>
      <c r="G141" s="17" t="n"/>
      <c r="H141" s="43" t="n"/>
      <c r="I141" s="17" t="n"/>
      <c r="J141" s="17" t="n"/>
      <c r="K141" s="17" t="n"/>
      <c r="L141" s="17" t="n"/>
      <c r="M141" s="17" t="n"/>
      <c r="N141" s="17" t="n"/>
      <c r="O141" s="22">
        <f>IF(A141="","",IF(I141&lt;&gt;"済","判定保留",IF(OR(N141="",J141="",K141="",L141="",J141="未確認",K141="未確認"),"判定保留",IF(AND(J141="はい",L141="無"),"入力エラー（GxP対象でSOP無）",IFERROR(INDEX('判定表'!$D:$D,MATCH("W|"&amp;N141&amp;"|"&amp;IF(OR(J141="はい",K141="はい",L141="無"),"あり","なし"),'判定表'!$A:$A,0)),"判定表にない組み合わせ")))))</f>
        <v/>
      </c>
      <c r="P141" s="22">
        <f>IF(A141="","",IF(C141="","対象外",IF(COUNTIFS('システム'!$A$4:$A$200,C141,'システム'!$N$4:$N$200,"移管")&gt;0,"移管",IF(COUNTIFS('システム'!$A$4:$A$200,C141,'システム'!$N$4:$N$200,"留保")&gt;0,"留保","判定保留"))))</f>
        <v/>
      </c>
      <c r="Q141" s="22">
        <f>IF(A141="","",IF(P141&lt;&gt;"移管","—",IF(N141="","判定保留",IFERROR(INDEX('判定表'!$E:$E,MATCH("W|"&amp;N141&amp;"|なし",'判定表'!$A:$A,0)),"判定表にない回答"))))</f>
        <v/>
      </c>
    </row>
    <row r="142">
      <c r="A142" s="17" t="n"/>
      <c r="B142" s="17" t="n"/>
      <c r="C142" s="17" t="n"/>
      <c r="D142" s="22">
        <f>IF(C142="","",IFERROR(INDEX('システム'!$B:$B,MATCH(C142,'システム'!$A:$A,0)),"システムが未登録"))</f>
        <v/>
      </c>
      <c r="E142" s="17" t="n"/>
      <c r="F142" s="17" t="n"/>
      <c r="G142" s="17" t="n"/>
      <c r="H142" s="43" t="n"/>
      <c r="I142" s="17" t="n"/>
      <c r="J142" s="17" t="n"/>
      <c r="K142" s="17" t="n"/>
      <c r="L142" s="17" t="n"/>
      <c r="M142" s="17" t="n"/>
      <c r="N142" s="17" t="n"/>
      <c r="O142" s="22">
        <f>IF(A142="","",IF(I142&lt;&gt;"済","判定保留",IF(OR(N142="",J142="",K142="",L142="",J142="未確認",K142="未確認"),"判定保留",IF(AND(J142="はい",L142="無"),"入力エラー（GxP対象でSOP無）",IFERROR(INDEX('判定表'!$D:$D,MATCH("W|"&amp;N142&amp;"|"&amp;IF(OR(J142="はい",K142="はい",L142="無"),"あり","なし"),'判定表'!$A:$A,0)),"判定表にない組み合わせ")))))</f>
        <v/>
      </c>
      <c r="P142" s="22">
        <f>IF(A142="","",IF(C142="","対象外",IF(COUNTIFS('システム'!$A$4:$A$200,C142,'システム'!$N$4:$N$200,"移管")&gt;0,"移管",IF(COUNTIFS('システム'!$A$4:$A$200,C142,'システム'!$N$4:$N$200,"留保")&gt;0,"留保","判定保留"))))</f>
        <v/>
      </c>
      <c r="Q142" s="22">
        <f>IF(A142="","",IF(P142&lt;&gt;"移管","—",IF(N142="","判定保留",IFERROR(INDEX('判定表'!$E:$E,MATCH("W|"&amp;N142&amp;"|なし",'判定表'!$A:$A,0)),"判定表にない回答"))))</f>
        <v/>
      </c>
    </row>
    <row r="143">
      <c r="A143" s="17" t="n"/>
      <c r="B143" s="17" t="n"/>
      <c r="C143" s="17" t="n"/>
      <c r="D143" s="22">
        <f>IF(C143="","",IFERROR(INDEX('システム'!$B:$B,MATCH(C143,'システム'!$A:$A,0)),"システムが未登録"))</f>
        <v/>
      </c>
      <c r="E143" s="17" t="n"/>
      <c r="F143" s="17" t="n"/>
      <c r="G143" s="17" t="n"/>
      <c r="H143" s="43" t="n"/>
      <c r="I143" s="17" t="n"/>
      <c r="J143" s="17" t="n"/>
      <c r="K143" s="17" t="n"/>
      <c r="L143" s="17" t="n"/>
      <c r="M143" s="17" t="n"/>
      <c r="N143" s="17" t="n"/>
      <c r="O143" s="22">
        <f>IF(A143="","",IF(I143&lt;&gt;"済","判定保留",IF(OR(N143="",J143="",K143="",L143="",J143="未確認",K143="未確認"),"判定保留",IF(AND(J143="はい",L143="無"),"入力エラー（GxP対象でSOP無）",IFERROR(INDEX('判定表'!$D:$D,MATCH("W|"&amp;N143&amp;"|"&amp;IF(OR(J143="はい",K143="はい",L143="無"),"あり","なし"),'判定表'!$A:$A,0)),"判定表にない組み合わせ")))))</f>
        <v/>
      </c>
      <c r="P143" s="22">
        <f>IF(A143="","",IF(C143="","対象外",IF(COUNTIFS('システム'!$A$4:$A$200,C143,'システム'!$N$4:$N$200,"移管")&gt;0,"移管",IF(COUNTIFS('システム'!$A$4:$A$200,C143,'システム'!$N$4:$N$200,"留保")&gt;0,"留保","判定保留"))))</f>
        <v/>
      </c>
      <c r="Q143" s="22">
        <f>IF(A143="","",IF(P143&lt;&gt;"移管","—",IF(N143="","判定保留",IFERROR(INDEX('判定表'!$E:$E,MATCH("W|"&amp;N143&amp;"|なし",'判定表'!$A:$A,0)),"判定表にない回答"))))</f>
        <v/>
      </c>
    </row>
    <row r="144">
      <c r="A144" s="17" t="n"/>
      <c r="B144" s="17" t="n"/>
      <c r="C144" s="17" t="n"/>
      <c r="D144" s="22">
        <f>IF(C144="","",IFERROR(INDEX('システム'!$B:$B,MATCH(C144,'システム'!$A:$A,0)),"システムが未登録"))</f>
        <v/>
      </c>
      <c r="E144" s="17" t="n"/>
      <c r="F144" s="17" t="n"/>
      <c r="G144" s="17" t="n"/>
      <c r="H144" s="43" t="n"/>
      <c r="I144" s="17" t="n"/>
      <c r="J144" s="17" t="n"/>
      <c r="K144" s="17" t="n"/>
      <c r="L144" s="17" t="n"/>
      <c r="M144" s="17" t="n"/>
      <c r="N144" s="17" t="n"/>
      <c r="O144" s="22">
        <f>IF(A144="","",IF(I144&lt;&gt;"済","判定保留",IF(OR(N144="",J144="",K144="",L144="",J144="未確認",K144="未確認"),"判定保留",IF(AND(J144="はい",L144="無"),"入力エラー（GxP対象でSOP無）",IFERROR(INDEX('判定表'!$D:$D,MATCH("W|"&amp;N144&amp;"|"&amp;IF(OR(J144="はい",K144="はい",L144="無"),"あり","なし"),'判定表'!$A:$A,0)),"判定表にない組み合わせ")))))</f>
        <v/>
      </c>
      <c r="P144" s="22">
        <f>IF(A144="","",IF(C144="","対象外",IF(COUNTIFS('システム'!$A$4:$A$200,C144,'システム'!$N$4:$N$200,"移管")&gt;0,"移管",IF(COUNTIFS('システム'!$A$4:$A$200,C144,'システム'!$N$4:$N$200,"留保")&gt;0,"留保","判定保留"))))</f>
        <v/>
      </c>
      <c r="Q144" s="22">
        <f>IF(A144="","",IF(P144&lt;&gt;"移管","—",IF(N144="","判定保留",IFERROR(INDEX('判定表'!$E:$E,MATCH("W|"&amp;N144&amp;"|なし",'判定表'!$A:$A,0)),"判定表にない回答"))))</f>
        <v/>
      </c>
    </row>
    <row r="145">
      <c r="A145" s="17" t="n"/>
      <c r="B145" s="17" t="n"/>
      <c r="C145" s="17" t="n"/>
      <c r="D145" s="22">
        <f>IF(C145="","",IFERROR(INDEX('システム'!$B:$B,MATCH(C145,'システム'!$A:$A,0)),"システムが未登録"))</f>
        <v/>
      </c>
      <c r="E145" s="17" t="n"/>
      <c r="F145" s="17" t="n"/>
      <c r="G145" s="17" t="n"/>
      <c r="H145" s="43" t="n"/>
      <c r="I145" s="17" t="n"/>
      <c r="J145" s="17" t="n"/>
      <c r="K145" s="17" t="n"/>
      <c r="L145" s="17" t="n"/>
      <c r="M145" s="17" t="n"/>
      <c r="N145" s="17" t="n"/>
      <c r="O145" s="22">
        <f>IF(A145="","",IF(I145&lt;&gt;"済","判定保留",IF(OR(N145="",J145="",K145="",L145="",J145="未確認",K145="未確認"),"判定保留",IF(AND(J145="はい",L145="無"),"入力エラー（GxP対象でSOP無）",IFERROR(INDEX('判定表'!$D:$D,MATCH("W|"&amp;N145&amp;"|"&amp;IF(OR(J145="はい",K145="はい",L145="無"),"あり","なし"),'判定表'!$A:$A,0)),"判定表にない組み合わせ")))))</f>
        <v/>
      </c>
      <c r="P145" s="22">
        <f>IF(A145="","",IF(C145="","対象外",IF(COUNTIFS('システム'!$A$4:$A$200,C145,'システム'!$N$4:$N$200,"移管")&gt;0,"移管",IF(COUNTIFS('システム'!$A$4:$A$200,C145,'システム'!$N$4:$N$200,"留保")&gt;0,"留保","判定保留"))))</f>
        <v/>
      </c>
      <c r="Q145" s="22">
        <f>IF(A145="","",IF(P145&lt;&gt;"移管","—",IF(N145="","判定保留",IFERROR(INDEX('判定表'!$E:$E,MATCH("W|"&amp;N145&amp;"|なし",'判定表'!$A:$A,0)),"判定表にない回答"))))</f>
        <v/>
      </c>
    </row>
    <row r="146">
      <c r="A146" s="17" t="n"/>
      <c r="B146" s="17" t="n"/>
      <c r="C146" s="17" t="n"/>
      <c r="D146" s="22">
        <f>IF(C146="","",IFERROR(INDEX('システム'!$B:$B,MATCH(C146,'システム'!$A:$A,0)),"システムが未登録"))</f>
        <v/>
      </c>
      <c r="E146" s="17" t="n"/>
      <c r="F146" s="17" t="n"/>
      <c r="G146" s="17" t="n"/>
      <c r="H146" s="43" t="n"/>
      <c r="I146" s="17" t="n"/>
      <c r="J146" s="17" t="n"/>
      <c r="K146" s="17" t="n"/>
      <c r="L146" s="17" t="n"/>
      <c r="M146" s="17" t="n"/>
      <c r="N146" s="17" t="n"/>
      <c r="O146" s="22">
        <f>IF(A146="","",IF(I146&lt;&gt;"済","判定保留",IF(OR(N146="",J146="",K146="",L146="",J146="未確認",K146="未確認"),"判定保留",IF(AND(J146="はい",L146="無"),"入力エラー（GxP対象でSOP無）",IFERROR(INDEX('判定表'!$D:$D,MATCH("W|"&amp;N146&amp;"|"&amp;IF(OR(J146="はい",K146="はい",L146="無"),"あり","なし"),'判定表'!$A:$A,0)),"判定表にない組み合わせ")))))</f>
        <v/>
      </c>
      <c r="P146" s="22">
        <f>IF(A146="","",IF(C146="","対象外",IF(COUNTIFS('システム'!$A$4:$A$200,C146,'システム'!$N$4:$N$200,"移管")&gt;0,"移管",IF(COUNTIFS('システム'!$A$4:$A$200,C146,'システム'!$N$4:$N$200,"留保")&gt;0,"留保","判定保留"))))</f>
        <v/>
      </c>
      <c r="Q146" s="22">
        <f>IF(A146="","",IF(P146&lt;&gt;"移管","—",IF(N146="","判定保留",IFERROR(INDEX('判定表'!$E:$E,MATCH("W|"&amp;N146&amp;"|なし",'判定表'!$A:$A,0)),"判定表にない回答"))))</f>
        <v/>
      </c>
    </row>
    <row r="147">
      <c r="A147" s="17" t="n"/>
      <c r="B147" s="17" t="n"/>
      <c r="C147" s="17" t="n"/>
      <c r="D147" s="22">
        <f>IF(C147="","",IFERROR(INDEX('システム'!$B:$B,MATCH(C147,'システム'!$A:$A,0)),"システムが未登録"))</f>
        <v/>
      </c>
      <c r="E147" s="17" t="n"/>
      <c r="F147" s="17" t="n"/>
      <c r="G147" s="17" t="n"/>
      <c r="H147" s="43" t="n"/>
      <c r="I147" s="17" t="n"/>
      <c r="J147" s="17" t="n"/>
      <c r="K147" s="17" t="n"/>
      <c r="L147" s="17" t="n"/>
      <c r="M147" s="17" t="n"/>
      <c r="N147" s="17" t="n"/>
      <c r="O147" s="22">
        <f>IF(A147="","",IF(I147&lt;&gt;"済","判定保留",IF(OR(N147="",J147="",K147="",L147="",J147="未確認",K147="未確認"),"判定保留",IF(AND(J147="はい",L147="無"),"入力エラー（GxP対象でSOP無）",IFERROR(INDEX('判定表'!$D:$D,MATCH("W|"&amp;N147&amp;"|"&amp;IF(OR(J147="はい",K147="はい",L147="無"),"あり","なし"),'判定表'!$A:$A,0)),"判定表にない組み合わせ")))))</f>
        <v/>
      </c>
      <c r="P147" s="22">
        <f>IF(A147="","",IF(C147="","対象外",IF(COUNTIFS('システム'!$A$4:$A$200,C147,'システム'!$N$4:$N$200,"移管")&gt;0,"移管",IF(COUNTIFS('システム'!$A$4:$A$200,C147,'システム'!$N$4:$N$200,"留保")&gt;0,"留保","判定保留"))))</f>
        <v/>
      </c>
      <c r="Q147" s="22">
        <f>IF(A147="","",IF(P147&lt;&gt;"移管","—",IF(N147="","判定保留",IFERROR(INDEX('判定表'!$E:$E,MATCH("W|"&amp;N147&amp;"|なし",'判定表'!$A:$A,0)),"判定表にない回答"))))</f>
        <v/>
      </c>
    </row>
    <row r="148">
      <c r="A148" s="17" t="n"/>
      <c r="B148" s="17" t="n"/>
      <c r="C148" s="17" t="n"/>
      <c r="D148" s="22">
        <f>IF(C148="","",IFERROR(INDEX('システム'!$B:$B,MATCH(C148,'システム'!$A:$A,0)),"システムが未登録"))</f>
        <v/>
      </c>
      <c r="E148" s="17" t="n"/>
      <c r="F148" s="17" t="n"/>
      <c r="G148" s="17" t="n"/>
      <c r="H148" s="43" t="n"/>
      <c r="I148" s="17" t="n"/>
      <c r="J148" s="17" t="n"/>
      <c r="K148" s="17" t="n"/>
      <c r="L148" s="17" t="n"/>
      <c r="M148" s="17" t="n"/>
      <c r="N148" s="17" t="n"/>
      <c r="O148" s="22">
        <f>IF(A148="","",IF(I148&lt;&gt;"済","判定保留",IF(OR(N148="",J148="",K148="",L148="",J148="未確認",K148="未確認"),"判定保留",IF(AND(J148="はい",L148="無"),"入力エラー（GxP対象でSOP無）",IFERROR(INDEX('判定表'!$D:$D,MATCH("W|"&amp;N148&amp;"|"&amp;IF(OR(J148="はい",K148="はい",L148="無"),"あり","なし"),'判定表'!$A:$A,0)),"判定表にない組み合わせ")))))</f>
        <v/>
      </c>
      <c r="P148" s="22">
        <f>IF(A148="","",IF(C148="","対象外",IF(COUNTIFS('システム'!$A$4:$A$200,C148,'システム'!$N$4:$N$200,"移管")&gt;0,"移管",IF(COUNTIFS('システム'!$A$4:$A$200,C148,'システム'!$N$4:$N$200,"留保")&gt;0,"留保","判定保留"))))</f>
        <v/>
      </c>
      <c r="Q148" s="22">
        <f>IF(A148="","",IF(P148&lt;&gt;"移管","—",IF(N148="","判定保留",IFERROR(INDEX('判定表'!$E:$E,MATCH("W|"&amp;N148&amp;"|なし",'判定表'!$A:$A,0)),"判定表にない回答"))))</f>
        <v/>
      </c>
    </row>
    <row r="149">
      <c r="A149" s="17" t="n"/>
      <c r="B149" s="17" t="n"/>
      <c r="C149" s="17" t="n"/>
      <c r="D149" s="22">
        <f>IF(C149="","",IFERROR(INDEX('システム'!$B:$B,MATCH(C149,'システム'!$A:$A,0)),"システムが未登録"))</f>
        <v/>
      </c>
      <c r="E149" s="17" t="n"/>
      <c r="F149" s="17" t="n"/>
      <c r="G149" s="17" t="n"/>
      <c r="H149" s="43" t="n"/>
      <c r="I149" s="17" t="n"/>
      <c r="J149" s="17" t="n"/>
      <c r="K149" s="17" t="n"/>
      <c r="L149" s="17" t="n"/>
      <c r="M149" s="17" t="n"/>
      <c r="N149" s="17" t="n"/>
      <c r="O149" s="22">
        <f>IF(A149="","",IF(I149&lt;&gt;"済","判定保留",IF(OR(N149="",J149="",K149="",L149="",J149="未確認",K149="未確認"),"判定保留",IF(AND(J149="はい",L149="無"),"入力エラー（GxP対象でSOP無）",IFERROR(INDEX('判定表'!$D:$D,MATCH("W|"&amp;N149&amp;"|"&amp;IF(OR(J149="はい",K149="はい",L149="無"),"あり","なし"),'判定表'!$A:$A,0)),"判定表にない組み合わせ")))))</f>
        <v/>
      </c>
      <c r="P149" s="22">
        <f>IF(A149="","",IF(C149="","対象外",IF(COUNTIFS('システム'!$A$4:$A$200,C149,'システム'!$N$4:$N$200,"移管")&gt;0,"移管",IF(COUNTIFS('システム'!$A$4:$A$200,C149,'システム'!$N$4:$N$200,"留保")&gt;0,"留保","判定保留"))))</f>
        <v/>
      </c>
      <c r="Q149" s="22">
        <f>IF(A149="","",IF(P149&lt;&gt;"移管","—",IF(N149="","判定保留",IFERROR(INDEX('判定表'!$E:$E,MATCH("W|"&amp;N149&amp;"|なし",'判定表'!$A:$A,0)),"判定表にない回答"))))</f>
        <v/>
      </c>
    </row>
    <row r="150">
      <c r="A150" s="17" t="n"/>
      <c r="B150" s="17" t="n"/>
      <c r="C150" s="17" t="n"/>
      <c r="D150" s="22">
        <f>IF(C150="","",IFERROR(INDEX('システム'!$B:$B,MATCH(C150,'システム'!$A:$A,0)),"システムが未登録"))</f>
        <v/>
      </c>
      <c r="E150" s="17" t="n"/>
      <c r="F150" s="17" t="n"/>
      <c r="G150" s="17" t="n"/>
      <c r="H150" s="43" t="n"/>
      <c r="I150" s="17" t="n"/>
      <c r="J150" s="17" t="n"/>
      <c r="K150" s="17" t="n"/>
      <c r="L150" s="17" t="n"/>
      <c r="M150" s="17" t="n"/>
      <c r="N150" s="17" t="n"/>
      <c r="O150" s="22">
        <f>IF(A150="","",IF(I150&lt;&gt;"済","判定保留",IF(OR(N150="",J150="",K150="",L150="",J150="未確認",K150="未確認"),"判定保留",IF(AND(J150="はい",L150="無"),"入力エラー（GxP対象でSOP無）",IFERROR(INDEX('判定表'!$D:$D,MATCH("W|"&amp;N150&amp;"|"&amp;IF(OR(J150="はい",K150="はい",L150="無"),"あり","なし"),'判定表'!$A:$A,0)),"判定表にない組み合わせ")))))</f>
        <v/>
      </c>
      <c r="P150" s="22">
        <f>IF(A150="","",IF(C150="","対象外",IF(COUNTIFS('システム'!$A$4:$A$200,C150,'システム'!$N$4:$N$200,"移管")&gt;0,"移管",IF(COUNTIFS('システム'!$A$4:$A$200,C150,'システム'!$N$4:$N$200,"留保")&gt;0,"留保","判定保留"))))</f>
        <v/>
      </c>
      <c r="Q150" s="22">
        <f>IF(A150="","",IF(P150&lt;&gt;"移管","—",IF(N150="","判定保留",IFERROR(INDEX('判定表'!$E:$E,MATCH("W|"&amp;N150&amp;"|なし",'判定表'!$A:$A,0)),"判定表にない回答"))))</f>
        <v/>
      </c>
    </row>
    <row r="151">
      <c r="A151" s="17" t="n"/>
      <c r="B151" s="17" t="n"/>
      <c r="C151" s="17" t="n"/>
      <c r="D151" s="22">
        <f>IF(C151="","",IFERROR(INDEX('システム'!$B:$B,MATCH(C151,'システム'!$A:$A,0)),"システムが未登録"))</f>
        <v/>
      </c>
      <c r="E151" s="17" t="n"/>
      <c r="F151" s="17" t="n"/>
      <c r="G151" s="17" t="n"/>
      <c r="H151" s="43" t="n"/>
      <c r="I151" s="17" t="n"/>
      <c r="J151" s="17" t="n"/>
      <c r="K151" s="17" t="n"/>
      <c r="L151" s="17" t="n"/>
      <c r="M151" s="17" t="n"/>
      <c r="N151" s="17" t="n"/>
      <c r="O151" s="22">
        <f>IF(A151="","",IF(I151&lt;&gt;"済","判定保留",IF(OR(N151="",J151="",K151="",L151="",J151="未確認",K151="未確認"),"判定保留",IF(AND(J151="はい",L151="無"),"入力エラー（GxP対象でSOP無）",IFERROR(INDEX('判定表'!$D:$D,MATCH("W|"&amp;N151&amp;"|"&amp;IF(OR(J151="はい",K151="はい",L151="無"),"あり","なし"),'判定表'!$A:$A,0)),"判定表にない組み合わせ")))))</f>
        <v/>
      </c>
      <c r="P151" s="22">
        <f>IF(A151="","",IF(C151="","対象外",IF(COUNTIFS('システム'!$A$4:$A$200,C151,'システム'!$N$4:$N$200,"移管")&gt;0,"移管",IF(COUNTIFS('システム'!$A$4:$A$200,C151,'システム'!$N$4:$N$200,"留保")&gt;0,"留保","判定保留"))))</f>
        <v/>
      </c>
      <c r="Q151" s="22">
        <f>IF(A151="","",IF(P151&lt;&gt;"移管","—",IF(N151="","判定保留",IFERROR(INDEX('判定表'!$E:$E,MATCH("W|"&amp;N151&amp;"|なし",'判定表'!$A:$A,0)),"判定表にない回答"))))</f>
        <v/>
      </c>
    </row>
    <row r="152">
      <c r="A152" s="17" t="n"/>
      <c r="B152" s="17" t="n"/>
      <c r="C152" s="17" t="n"/>
      <c r="D152" s="22">
        <f>IF(C152="","",IFERROR(INDEX('システム'!$B:$B,MATCH(C152,'システム'!$A:$A,0)),"システムが未登録"))</f>
        <v/>
      </c>
      <c r="E152" s="17" t="n"/>
      <c r="F152" s="17" t="n"/>
      <c r="G152" s="17" t="n"/>
      <c r="H152" s="43" t="n"/>
      <c r="I152" s="17" t="n"/>
      <c r="J152" s="17" t="n"/>
      <c r="K152" s="17" t="n"/>
      <c r="L152" s="17" t="n"/>
      <c r="M152" s="17" t="n"/>
      <c r="N152" s="17" t="n"/>
      <c r="O152" s="22">
        <f>IF(A152="","",IF(I152&lt;&gt;"済","判定保留",IF(OR(N152="",J152="",K152="",L152="",J152="未確認",K152="未確認"),"判定保留",IF(AND(J152="はい",L152="無"),"入力エラー（GxP対象でSOP無）",IFERROR(INDEX('判定表'!$D:$D,MATCH("W|"&amp;N152&amp;"|"&amp;IF(OR(J152="はい",K152="はい",L152="無"),"あり","なし"),'判定表'!$A:$A,0)),"判定表にない組み合わせ")))))</f>
        <v/>
      </c>
      <c r="P152" s="22">
        <f>IF(A152="","",IF(C152="","対象外",IF(COUNTIFS('システム'!$A$4:$A$200,C152,'システム'!$N$4:$N$200,"移管")&gt;0,"移管",IF(COUNTIFS('システム'!$A$4:$A$200,C152,'システム'!$N$4:$N$200,"留保")&gt;0,"留保","判定保留"))))</f>
        <v/>
      </c>
      <c r="Q152" s="22">
        <f>IF(A152="","",IF(P152&lt;&gt;"移管","—",IF(N152="","判定保留",IFERROR(INDEX('判定表'!$E:$E,MATCH("W|"&amp;N152&amp;"|なし",'判定表'!$A:$A,0)),"判定表にない回答"))))</f>
        <v/>
      </c>
    </row>
    <row r="153">
      <c r="A153" s="17" t="n"/>
      <c r="B153" s="17" t="n"/>
      <c r="C153" s="17" t="n"/>
      <c r="D153" s="22">
        <f>IF(C153="","",IFERROR(INDEX('システム'!$B:$B,MATCH(C153,'システム'!$A:$A,0)),"システムが未登録"))</f>
        <v/>
      </c>
      <c r="E153" s="17" t="n"/>
      <c r="F153" s="17" t="n"/>
      <c r="G153" s="17" t="n"/>
      <c r="H153" s="43" t="n"/>
      <c r="I153" s="17" t="n"/>
      <c r="J153" s="17" t="n"/>
      <c r="K153" s="17" t="n"/>
      <c r="L153" s="17" t="n"/>
      <c r="M153" s="17" t="n"/>
      <c r="N153" s="17" t="n"/>
      <c r="O153" s="22">
        <f>IF(A153="","",IF(I153&lt;&gt;"済","判定保留",IF(OR(N153="",J153="",K153="",L153="",J153="未確認",K153="未確認"),"判定保留",IF(AND(J153="はい",L153="無"),"入力エラー（GxP対象でSOP無）",IFERROR(INDEX('判定表'!$D:$D,MATCH("W|"&amp;N153&amp;"|"&amp;IF(OR(J153="はい",K153="はい",L153="無"),"あり","なし"),'判定表'!$A:$A,0)),"判定表にない組み合わせ")))))</f>
        <v/>
      </c>
      <c r="P153" s="22">
        <f>IF(A153="","",IF(C153="","対象外",IF(COUNTIFS('システム'!$A$4:$A$200,C153,'システム'!$N$4:$N$200,"移管")&gt;0,"移管",IF(COUNTIFS('システム'!$A$4:$A$200,C153,'システム'!$N$4:$N$200,"留保")&gt;0,"留保","判定保留"))))</f>
        <v/>
      </c>
      <c r="Q153" s="22">
        <f>IF(A153="","",IF(P153&lt;&gt;"移管","—",IF(N153="","判定保留",IFERROR(INDEX('判定表'!$E:$E,MATCH("W|"&amp;N153&amp;"|なし",'判定表'!$A:$A,0)),"判定表にない回答"))))</f>
        <v/>
      </c>
    </row>
    <row r="154">
      <c r="A154" s="17" t="n"/>
      <c r="B154" s="17" t="n"/>
      <c r="C154" s="17" t="n"/>
      <c r="D154" s="22">
        <f>IF(C154="","",IFERROR(INDEX('システム'!$B:$B,MATCH(C154,'システム'!$A:$A,0)),"システムが未登録"))</f>
        <v/>
      </c>
      <c r="E154" s="17" t="n"/>
      <c r="F154" s="17" t="n"/>
      <c r="G154" s="17" t="n"/>
      <c r="H154" s="43" t="n"/>
      <c r="I154" s="17" t="n"/>
      <c r="J154" s="17" t="n"/>
      <c r="K154" s="17" t="n"/>
      <c r="L154" s="17" t="n"/>
      <c r="M154" s="17" t="n"/>
      <c r="N154" s="17" t="n"/>
      <c r="O154" s="22">
        <f>IF(A154="","",IF(I154&lt;&gt;"済","判定保留",IF(OR(N154="",J154="",K154="",L154="",J154="未確認",K154="未確認"),"判定保留",IF(AND(J154="はい",L154="無"),"入力エラー（GxP対象でSOP無）",IFERROR(INDEX('判定表'!$D:$D,MATCH("W|"&amp;N154&amp;"|"&amp;IF(OR(J154="はい",K154="はい",L154="無"),"あり","なし"),'判定表'!$A:$A,0)),"判定表にない組み合わせ")))))</f>
        <v/>
      </c>
      <c r="P154" s="22">
        <f>IF(A154="","",IF(C154="","対象外",IF(COUNTIFS('システム'!$A$4:$A$200,C154,'システム'!$N$4:$N$200,"移管")&gt;0,"移管",IF(COUNTIFS('システム'!$A$4:$A$200,C154,'システム'!$N$4:$N$200,"留保")&gt;0,"留保","判定保留"))))</f>
        <v/>
      </c>
      <c r="Q154" s="22">
        <f>IF(A154="","",IF(P154&lt;&gt;"移管","—",IF(N154="","判定保留",IFERROR(INDEX('判定表'!$E:$E,MATCH("W|"&amp;N154&amp;"|なし",'判定表'!$A:$A,0)),"判定表にない回答"))))</f>
        <v/>
      </c>
    </row>
    <row r="155">
      <c r="A155" s="17" t="n"/>
      <c r="B155" s="17" t="n"/>
      <c r="C155" s="17" t="n"/>
      <c r="D155" s="22">
        <f>IF(C155="","",IFERROR(INDEX('システム'!$B:$B,MATCH(C155,'システム'!$A:$A,0)),"システムが未登録"))</f>
        <v/>
      </c>
      <c r="E155" s="17" t="n"/>
      <c r="F155" s="17" t="n"/>
      <c r="G155" s="17" t="n"/>
      <c r="H155" s="43" t="n"/>
      <c r="I155" s="17" t="n"/>
      <c r="J155" s="17" t="n"/>
      <c r="K155" s="17" t="n"/>
      <c r="L155" s="17" t="n"/>
      <c r="M155" s="17" t="n"/>
      <c r="N155" s="17" t="n"/>
      <c r="O155" s="22">
        <f>IF(A155="","",IF(I155&lt;&gt;"済","判定保留",IF(OR(N155="",J155="",K155="",L155="",J155="未確認",K155="未確認"),"判定保留",IF(AND(J155="はい",L155="無"),"入力エラー（GxP対象でSOP無）",IFERROR(INDEX('判定表'!$D:$D,MATCH("W|"&amp;N155&amp;"|"&amp;IF(OR(J155="はい",K155="はい",L155="無"),"あり","なし"),'判定表'!$A:$A,0)),"判定表にない組み合わせ")))))</f>
        <v/>
      </c>
      <c r="P155" s="22">
        <f>IF(A155="","",IF(C155="","対象外",IF(COUNTIFS('システム'!$A$4:$A$200,C155,'システム'!$N$4:$N$200,"移管")&gt;0,"移管",IF(COUNTIFS('システム'!$A$4:$A$200,C155,'システム'!$N$4:$N$200,"留保")&gt;0,"留保","判定保留"))))</f>
        <v/>
      </c>
      <c r="Q155" s="22">
        <f>IF(A155="","",IF(P155&lt;&gt;"移管","—",IF(N155="","判定保留",IFERROR(INDEX('判定表'!$E:$E,MATCH("W|"&amp;N155&amp;"|なし",'判定表'!$A:$A,0)),"判定表にない回答"))))</f>
        <v/>
      </c>
    </row>
    <row r="156">
      <c r="A156" s="17" t="n"/>
      <c r="B156" s="17" t="n"/>
      <c r="C156" s="17" t="n"/>
      <c r="D156" s="22">
        <f>IF(C156="","",IFERROR(INDEX('システム'!$B:$B,MATCH(C156,'システム'!$A:$A,0)),"システムが未登録"))</f>
        <v/>
      </c>
      <c r="E156" s="17" t="n"/>
      <c r="F156" s="17" t="n"/>
      <c r="G156" s="17" t="n"/>
      <c r="H156" s="43" t="n"/>
      <c r="I156" s="17" t="n"/>
      <c r="J156" s="17" t="n"/>
      <c r="K156" s="17" t="n"/>
      <c r="L156" s="17" t="n"/>
      <c r="M156" s="17" t="n"/>
      <c r="N156" s="17" t="n"/>
      <c r="O156" s="22">
        <f>IF(A156="","",IF(I156&lt;&gt;"済","判定保留",IF(OR(N156="",J156="",K156="",L156="",J156="未確認",K156="未確認"),"判定保留",IF(AND(J156="はい",L156="無"),"入力エラー（GxP対象でSOP無）",IFERROR(INDEX('判定表'!$D:$D,MATCH("W|"&amp;N156&amp;"|"&amp;IF(OR(J156="はい",K156="はい",L156="無"),"あり","なし"),'判定表'!$A:$A,0)),"判定表にない組み合わせ")))))</f>
        <v/>
      </c>
      <c r="P156" s="22">
        <f>IF(A156="","",IF(C156="","対象外",IF(COUNTIFS('システム'!$A$4:$A$200,C156,'システム'!$N$4:$N$200,"移管")&gt;0,"移管",IF(COUNTIFS('システム'!$A$4:$A$200,C156,'システム'!$N$4:$N$200,"留保")&gt;0,"留保","判定保留"))))</f>
        <v/>
      </c>
      <c r="Q156" s="22">
        <f>IF(A156="","",IF(P156&lt;&gt;"移管","—",IF(N156="","判定保留",IFERROR(INDEX('判定表'!$E:$E,MATCH("W|"&amp;N156&amp;"|なし",'判定表'!$A:$A,0)),"判定表にない回答"))))</f>
        <v/>
      </c>
    </row>
    <row r="157">
      <c r="A157" s="17" t="n"/>
      <c r="B157" s="17" t="n"/>
      <c r="C157" s="17" t="n"/>
      <c r="D157" s="22">
        <f>IF(C157="","",IFERROR(INDEX('システム'!$B:$B,MATCH(C157,'システム'!$A:$A,0)),"システムが未登録"))</f>
        <v/>
      </c>
      <c r="E157" s="17" t="n"/>
      <c r="F157" s="17" t="n"/>
      <c r="G157" s="17" t="n"/>
      <c r="H157" s="43" t="n"/>
      <c r="I157" s="17" t="n"/>
      <c r="J157" s="17" t="n"/>
      <c r="K157" s="17" t="n"/>
      <c r="L157" s="17" t="n"/>
      <c r="M157" s="17" t="n"/>
      <c r="N157" s="17" t="n"/>
      <c r="O157" s="22">
        <f>IF(A157="","",IF(I157&lt;&gt;"済","判定保留",IF(OR(N157="",J157="",K157="",L157="",J157="未確認",K157="未確認"),"判定保留",IF(AND(J157="はい",L157="無"),"入力エラー（GxP対象でSOP無）",IFERROR(INDEX('判定表'!$D:$D,MATCH("W|"&amp;N157&amp;"|"&amp;IF(OR(J157="はい",K157="はい",L157="無"),"あり","なし"),'判定表'!$A:$A,0)),"判定表にない組み合わせ")))))</f>
        <v/>
      </c>
      <c r="P157" s="22">
        <f>IF(A157="","",IF(C157="","対象外",IF(COUNTIFS('システム'!$A$4:$A$200,C157,'システム'!$N$4:$N$200,"移管")&gt;0,"移管",IF(COUNTIFS('システム'!$A$4:$A$200,C157,'システム'!$N$4:$N$200,"留保")&gt;0,"留保","判定保留"))))</f>
        <v/>
      </c>
      <c r="Q157" s="22">
        <f>IF(A157="","",IF(P157&lt;&gt;"移管","—",IF(N157="","判定保留",IFERROR(INDEX('判定表'!$E:$E,MATCH("W|"&amp;N157&amp;"|なし",'判定表'!$A:$A,0)),"判定表にない回答"))))</f>
        <v/>
      </c>
    </row>
    <row r="158">
      <c r="A158" s="17" t="n"/>
      <c r="B158" s="17" t="n"/>
      <c r="C158" s="17" t="n"/>
      <c r="D158" s="22">
        <f>IF(C158="","",IFERROR(INDEX('システム'!$B:$B,MATCH(C158,'システム'!$A:$A,0)),"システムが未登録"))</f>
        <v/>
      </c>
      <c r="E158" s="17" t="n"/>
      <c r="F158" s="17" t="n"/>
      <c r="G158" s="17" t="n"/>
      <c r="H158" s="43" t="n"/>
      <c r="I158" s="17" t="n"/>
      <c r="J158" s="17" t="n"/>
      <c r="K158" s="17" t="n"/>
      <c r="L158" s="17" t="n"/>
      <c r="M158" s="17" t="n"/>
      <c r="N158" s="17" t="n"/>
      <c r="O158" s="22">
        <f>IF(A158="","",IF(I158&lt;&gt;"済","判定保留",IF(OR(N158="",J158="",K158="",L158="",J158="未確認",K158="未確認"),"判定保留",IF(AND(J158="はい",L158="無"),"入力エラー（GxP対象でSOP無）",IFERROR(INDEX('判定表'!$D:$D,MATCH("W|"&amp;N158&amp;"|"&amp;IF(OR(J158="はい",K158="はい",L158="無"),"あり","なし"),'判定表'!$A:$A,0)),"判定表にない組み合わせ")))))</f>
        <v/>
      </c>
      <c r="P158" s="22">
        <f>IF(A158="","",IF(C158="","対象外",IF(COUNTIFS('システム'!$A$4:$A$200,C158,'システム'!$N$4:$N$200,"移管")&gt;0,"移管",IF(COUNTIFS('システム'!$A$4:$A$200,C158,'システム'!$N$4:$N$200,"留保")&gt;0,"留保","判定保留"))))</f>
        <v/>
      </c>
      <c r="Q158" s="22">
        <f>IF(A158="","",IF(P158&lt;&gt;"移管","—",IF(N158="","判定保留",IFERROR(INDEX('判定表'!$E:$E,MATCH("W|"&amp;N158&amp;"|なし",'判定表'!$A:$A,0)),"判定表にない回答"))))</f>
        <v/>
      </c>
    </row>
    <row r="159">
      <c r="A159" s="17" t="n"/>
      <c r="B159" s="17" t="n"/>
      <c r="C159" s="17" t="n"/>
      <c r="D159" s="22">
        <f>IF(C159="","",IFERROR(INDEX('システム'!$B:$B,MATCH(C159,'システム'!$A:$A,0)),"システムが未登録"))</f>
        <v/>
      </c>
      <c r="E159" s="17" t="n"/>
      <c r="F159" s="17" t="n"/>
      <c r="G159" s="17" t="n"/>
      <c r="H159" s="43" t="n"/>
      <c r="I159" s="17" t="n"/>
      <c r="J159" s="17" t="n"/>
      <c r="K159" s="17" t="n"/>
      <c r="L159" s="17" t="n"/>
      <c r="M159" s="17" t="n"/>
      <c r="N159" s="17" t="n"/>
      <c r="O159" s="22">
        <f>IF(A159="","",IF(I159&lt;&gt;"済","判定保留",IF(OR(N159="",J159="",K159="",L159="",J159="未確認",K159="未確認"),"判定保留",IF(AND(J159="はい",L159="無"),"入力エラー（GxP対象でSOP無）",IFERROR(INDEX('判定表'!$D:$D,MATCH("W|"&amp;N159&amp;"|"&amp;IF(OR(J159="はい",K159="はい",L159="無"),"あり","なし"),'判定表'!$A:$A,0)),"判定表にない組み合わせ")))))</f>
        <v/>
      </c>
      <c r="P159" s="22">
        <f>IF(A159="","",IF(C159="","対象外",IF(COUNTIFS('システム'!$A$4:$A$200,C159,'システム'!$N$4:$N$200,"移管")&gt;0,"移管",IF(COUNTIFS('システム'!$A$4:$A$200,C159,'システム'!$N$4:$N$200,"留保")&gt;0,"留保","判定保留"))))</f>
        <v/>
      </c>
      <c r="Q159" s="22">
        <f>IF(A159="","",IF(P159&lt;&gt;"移管","—",IF(N159="","判定保留",IFERROR(INDEX('判定表'!$E:$E,MATCH("W|"&amp;N159&amp;"|なし",'判定表'!$A:$A,0)),"判定表にない回答"))))</f>
        <v/>
      </c>
    </row>
    <row r="160">
      <c r="A160" s="17" t="n"/>
      <c r="B160" s="17" t="n"/>
      <c r="C160" s="17" t="n"/>
      <c r="D160" s="22">
        <f>IF(C160="","",IFERROR(INDEX('システム'!$B:$B,MATCH(C160,'システム'!$A:$A,0)),"システムが未登録"))</f>
        <v/>
      </c>
      <c r="E160" s="17" t="n"/>
      <c r="F160" s="17" t="n"/>
      <c r="G160" s="17" t="n"/>
      <c r="H160" s="43" t="n"/>
      <c r="I160" s="17" t="n"/>
      <c r="J160" s="17" t="n"/>
      <c r="K160" s="17" t="n"/>
      <c r="L160" s="17" t="n"/>
      <c r="M160" s="17" t="n"/>
      <c r="N160" s="17" t="n"/>
      <c r="O160" s="22">
        <f>IF(A160="","",IF(I160&lt;&gt;"済","判定保留",IF(OR(N160="",J160="",K160="",L160="",J160="未確認",K160="未確認"),"判定保留",IF(AND(J160="はい",L160="無"),"入力エラー（GxP対象でSOP無）",IFERROR(INDEX('判定表'!$D:$D,MATCH("W|"&amp;N160&amp;"|"&amp;IF(OR(J160="はい",K160="はい",L160="無"),"あり","なし"),'判定表'!$A:$A,0)),"判定表にない組み合わせ")))))</f>
        <v/>
      </c>
      <c r="P160" s="22">
        <f>IF(A160="","",IF(C160="","対象外",IF(COUNTIFS('システム'!$A$4:$A$200,C160,'システム'!$N$4:$N$200,"移管")&gt;0,"移管",IF(COUNTIFS('システム'!$A$4:$A$200,C160,'システム'!$N$4:$N$200,"留保")&gt;0,"留保","判定保留"))))</f>
        <v/>
      </c>
      <c r="Q160" s="22">
        <f>IF(A160="","",IF(P160&lt;&gt;"移管","—",IF(N160="","判定保留",IFERROR(INDEX('判定表'!$E:$E,MATCH("W|"&amp;N160&amp;"|なし",'判定表'!$A:$A,0)),"判定表にない回答"))))</f>
        <v/>
      </c>
    </row>
    <row r="161">
      <c r="A161" s="17" t="n"/>
      <c r="B161" s="17" t="n"/>
      <c r="C161" s="17" t="n"/>
      <c r="D161" s="22">
        <f>IF(C161="","",IFERROR(INDEX('システム'!$B:$B,MATCH(C161,'システム'!$A:$A,0)),"システムが未登録"))</f>
        <v/>
      </c>
      <c r="E161" s="17" t="n"/>
      <c r="F161" s="17" t="n"/>
      <c r="G161" s="17" t="n"/>
      <c r="H161" s="43" t="n"/>
      <c r="I161" s="17" t="n"/>
      <c r="J161" s="17" t="n"/>
      <c r="K161" s="17" t="n"/>
      <c r="L161" s="17" t="n"/>
      <c r="M161" s="17" t="n"/>
      <c r="N161" s="17" t="n"/>
      <c r="O161" s="22">
        <f>IF(A161="","",IF(I161&lt;&gt;"済","判定保留",IF(OR(N161="",J161="",K161="",L161="",J161="未確認",K161="未確認"),"判定保留",IF(AND(J161="はい",L161="無"),"入力エラー（GxP対象でSOP無）",IFERROR(INDEX('判定表'!$D:$D,MATCH("W|"&amp;N161&amp;"|"&amp;IF(OR(J161="はい",K161="はい",L161="無"),"あり","なし"),'判定表'!$A:$A,0)),"判定表にない組み合わせ")))))</f>
        <v/>
      </c>
      <c r="P161" s="22">
        <f>IF(A161="","",IF(C161="","対象外",IF(COUNTIFS('システム'!$A$4:$A$200,C161,'システム'!$N$4:$N$200,"移管")&gt;0,"移管",IF(COUNTIFS('システム'!$A$4:$A$200,C161,'システム'!$N$4:$N$200,"留保")&gt;0,"留保","判定保留"))))</f>
        <v/>
      </c>
      <c r="Q161" s="22">
        <f>IF(A161="","",IF(P161&lt;&gt;"移管","—",IF(N161="","判定保留",IFERROR(INDEX('判定表'!$E:$E,MATCH("W|"&amp;N161&amp;"|なし",'判定表'!$A:$A,0)),"判定表にない回答"))))</f>
        <v/>
      </c>
    </row>
    <row r="162">
      <c r="A162" s="17" t="n"/>
      <c r="B162" s="17" t="n"/>
      <c r="C162" s="17" t="n"/>
      <c r="D162" s="22">
        <f>IF(C162="","",IFERROR(INDEX('システム'!$B:$B,MATCH(C162,'システム'!$A:$A,0)),"システムが未登録"))</f>
        <v/>
      </c>
      <c r="E162" s="17" t="n"/>
      <c r="F162" s="17" t="n"/>
      <c r="G162" s="17" t="n"/>
      <c r="H162" s="43" t="n"/>
      <c r="I162" s="17" t="n"/>
      <c r="J162" s="17" t="n"/>
      <c r="K162" s="17" t="n"/>
      <c r="L162" s="17" t="n"/>
      <c r="M162" s="17" t="n"/>
      <c r="N162" s="17" t="n"/>
      <c r="O162" s="22">
        <f>IF(A162="","",IF(I162&lt;&gt;"済","判定保留",IF(OR(N162="",J162="",K162="",L162="",J162="未確認",K162="未確認"),"判定保留",IF(AND(J162="はい",L162="無"),"入力エラー（GxP対象でSOP無）",IFERROR(INDEX('判定表'!$D:$D,MATCH("W|"&amp;N162&amp;"|"&amp;IF(OR(J162="はい",K162="はい",L162="無"),"あり","なし"),'判定表'!$A:$A,0)),"判定表にない組み合わせ")))))</f>
        <v/>
      </c>
      <c r="P162" s="22">
        <f>IF(A162="","",IF(C162="","対象外",IF(COUNTIFS('システム'!$A$4:$A$200,C162,'システム'!$N$4:$N$200,"移管")&gt;0,"移管",IF(COUNTIFS('システム'!$A$4:$A$200,C162,'システム'!$N$4:$N$200,"留保")&gt;0,"留保","判定保留"))))</f>
        <v/>
      </c>
      <c r="Q162" s="22">
        <f>IF(A162="","",IF(P162&lt;&gt;"移管","—",IF(N162="","判定保留",IFERROR(INDEX('判定表'!$E:$E,MATCH("W|"&amp;N162&amp;"|なし",'判定表'!$A:$A,0)),"判定表にない回答"))))</f>
        <v/>
      </c>
    </row>
    <row r="163">
      <c r="A163" s="17" t="n"/>
      <c r="B163" s="17" t="n"/>
      <c r="C163" s="17" t="n"/>
      <c r="D163" s="22">
        <f>IF(C163="","",IFERROR(INDEX('システム'!$B:$B,MATCH(C163,'システム'!$A:$A,0)),"システムが未登録"))</f>
        <v/>
      </c>
      <c r="E163" s="17" t="n"/>
      <c r="F163" s="17" t="n"/>
      <c r="G163" s="17" t="n"/>
      <c r="H163" s="43" t="n"/>
      <c r="I163" s="17" t="n"/>
      <c r="J163" s="17" t="n"/>
      <c r="K163" s="17" t="n"/>
      <c r="L163" s="17" t="n"/>
      <c r="M163" s="17" t="n"/>
      <c r="N163" s="17" t="n"/>
      <c r="O163" s="22">
        <f>IF(A163="","",IF(I163&lt;&gt;"済","判定保留",IF(OR(N163="",J163="",K163="",L163="",J163="未確認",K163="未確認"),"判定保留",IF(AND(J163="はい",L163="無"),"入力エラー（GxP対象でSOP無）",IFERROR(INDEX('判定表'!$D:$D,MATCH("W|"&amp;N163&amp;"|"&amp;IF(OR(J163="はい",K163="はい",L163="無"),"あり","なし"),'判定表'!$A:$A,0)),"判定表にない組み合わせ")))))</f>
        <v/>
      </c>
      <c r="P163" s="22">
        <f>IF(A163="","",IF(C163="","対象外",IF(COUNTIFS('システム'!$A$4:$A$200,C163,'システム'!$N$4:$N$200,"移管")&gt;0,"移管",IF(COUNTIFS('システム'!$A$4:$A$200,C163,'システム'!$N$4:$N$200,"留保")&gt;0,"留保","判定保留"))))</f>
        <v/>
      </c>
      <c r="Q163" s="22">
        <f>IF(A163="","",IF(P163&lt;&gt;"移管","—",IF(N163="","判定保留",IFERROR(INDEX('判定表'!$E:$E,MATCH("W|"&amp;N163&amp;"|なし",'判定表'!$A:$A,0)),"判定表にない回答"))))</f>
        <v/>
      </c>
    </row>
    <row r="164">
      <c r="A164" s="17" t="n"/>
      <c r="B164" s="17" t="n"/>
      <c r="C164" s="17" t="n"/>
      <c r="D164" s="22">
        <f>IF(C164="","",IFERROR(INDEX('システム'!$B:$B,MATCH(C164,'システム'!$A:$A,0)),"システムが未登録"))</f>
        <v/>
      </c>
      <c r="E164" s="17" t="n"/>
      <c r="F164" s="17" t="n"/>
      <c r="G164" s="17" t="n"/>
      <c r="H164" s="43" t="n"/>
      <c r="I164" s="17" t="n"/>
      <c r="J164" s="17" t="n"/>
      <c r="K164" s="17" t="n"/>
      <c r="L164" s="17" t="n"/>
      <c r="M164" s="17" t="n"/>
      <c r="N164" s="17" t="n"/>
      <c r="O164" s="22">
        <f>IF(A164="","",IF(I164&lt;&gt;"済","判定保留",IF(OR(N164="",J164="",K164="",L164="",J164="未確認",K164="未確認"),"判定保留",IF(AND(J164="はい",L164="無"),"入力エラー（GxP対象でSOP無）",IFERROR(INDEX('判定表'!$D:$D,MATCH("W|"&amp;N164&amp;"|"&amp;IF(OR(J164="はい",K164="はい",L164="無"),"あり","なし"),'判定表'!$A:$A,0)),"判定表にない組み合わせ")))))</f>
        <v/>
      </c>
      <c r="P164" s="22">
        <f>IF(A164="","",IF(C164="","対象外",IF(COUNTIFS('システム'!$A$4:$A$200,C164,'システム'!$N$4:$N$200,"移管")&gt;0,"移管",IF(COUNTIFS('システム'!$A$4:$A$200,C164,'システム'!$N$4:$N$200,"留保")&gt;0,"留保","判定保留"))))</f>
        <v/>
      </c>
      <c r="Q164" s="22">
        <f>IF(A164="","",IF(P164&lt;&gt;"移管","—",IF(N164="","判定保留",IFERROR(INDEX('判定表'!$E:$E,MATCH("W|"&amp;N164&amp;"|なし",'判定表'!$A:$A,0)),"判定表にない回答"))))</f>
        <v/>
      </c>
    </row>
    <row r="165">
      <c r="A165" s="17" t="n"/>
      <c r="B165" s="17" t="n"/>
      <c r="C165" s="17" t="n"/>
      <c r="D165" s="22">
        <f>IF(C165="","",IFERROR(INDEX('システム'!$B:$B,MATCH(C165,'システム'!$A:$A,0)),"システムが未登録"))</f>
        <v/>
      </c>
      <c r="E165" s="17" t="n"/>
      <c r="F165" s="17" t="n"/>
      <c r="G165" s="17" t="n"/>
      <c r="H165" s="43" t="n"/>
      <c r="I165" s="17" t="n"/>
      <c r="J165" s="17" t="n"/>
      <c r="K165" s="17" t="n"/>
      <c r="L165" s="17" t="n"/>
      <c r="M165" s="17" t="n"/>
      <c r="N165" s="17" t="n"/>
      <c r="O165" s="22">
        <f>IF(A165="","",IF(I165&lt;&gt;"済","判定保留",IF(OR(N165="",J165="",K165="",L165="",J165="未確認",K165="未確認"),"判定保留",IF(AND(J165="はい",L165="無"),"入力エラー（GxP対象でSOP無）",IFERROR(INDEX('判定表'!$D:$D,MATCH("W|"&amp;N165&amp;"|"&amp;IF(OR(J165="はい",K165="はい",L165="無"),"あり","なし"),'判定表'!$A:$A,0)),"判定表にない組み合わせ")))))</f>
        <v/>
      </c>
      <c r="P165" s="22">
        <f>IF(A165="","",IF(C165="","対象外",IF(COUNTIFS('システム'!$A$4:$A$200,C165,'システム'!$N$4:$N$200,"移管")&gt;0,"移管",IF(COUNTIFS('システム'!$A$4:$A$200,C165,'システム'!$N$4:$N$200,"留保")&gt;0,"留保","判定保留"))))</f>
        <v/>
      </c>
      <c r="Q165" s="22">
        <f>IF(A165="","",IF(P165&lt;&gt;"移管","—",IF(N165="","判定保留",IFERROR(INDEX('判定表'!$E:$E,MATCH("W|"&amp;N165&amp;"|なし",'判定表'!$A:$A,0)),"判定表にない回答"))))</f>
        <v/>
      </c>
    </row>
    <row r="166">
      <c r="A166" s="17" t="n"/>
      <c r="B166" s="17" t="n"/>
      <c r="C166" s="17" t="n"/>
      <c r="D166" s="22">
        <f>IF(C166="","",IFERROR(INDEX('システム'!$B:$B,MATCH(C166,'システム'!$A:$A,0)),"システムが未登録"))</f>
        <v/>
      </c>
      <c r="E166" s="17" t="n"/>
      <c r="F166" s="17" t="n"/>
      <c r="G166" s="17" t="n"/>
      <c r="H166" s="43" t="n"/>
      <c r="I166" s="17" t="n"/>
      <c r="J166" s="17" t="n"/>
      <c r="K166" s="17" t="n"/>
      <c r="L166" s="17" t="n"/>
      <c r="M166" s="17" t="n"/>
      <c r="N166" s="17" t="n"/>
      <c r="O166" s="22">
        <f>IF(A166="","",IF(I166&lt;&gt;"済","判定保留",IF(OR(N166="",J166="",K166="",L166="",J166="未確認",K166="未確認"),"判定保留",IF(AND(J166="はい",L166="無"),"入力エラー（GxP対象でSOP無）",IFERROR(INDEX('判定表'!$D:$D,MATCH("W|"&amp;N166&amp;"|"&amp;IF(OR(J166="はい",K166="はい",L166="無"),"あり","なし"),'判定表'!$A:$A,0)),"判定表にない組み合わせ")))))</f>
        <v/>
      </c>
      <c r="P166" s="22">
        <f>IF(A166="","",IF(C166="","対象外",IF(COUNTIFS('システム'!$A$4:$A$200,C166,'システム'!$N$4:$N$200,"移管")&gt;0,"移管",IF(COUNTIFS('システム'!$A$4:$A$200,C166,'システム'!$N$4:$N$200,"留保")&gt;0,"留保","判定保留"))))</f>
        <v/>
      </c>
      <c r="Q166" s="22">
        <f>IF(A166="","",IF(P166&lt;&gt;"移管","—",IF(N166="","判定保留",IFERROR(INDEX('判定表'!$E:$E,MATCH("W|"&amp;N166&amp;"|なし",'判定表'!$A:$A,0)),"判定表にない回答"))))</f>
        <v/>
      </c>
    </row>
    <row r="167">
      <c r="A167" s="17" t="n"/>
      <c r="B167" s="17" t="n"/>
      <c r="C167" s="17" t="n"/>
      <c r="D167" s="22">
        <f>IF(C167="","",IFERROR(INDEX('システム'!$B:$B,MATCH(C167,'システム'!$A:$A,0)),"システムが未登録"))</f>
        <v/>
      </c>
      <c r="E167" s="17" t="n"/>
      <c r="F167" s="17" t="n"/>
      <c r="G167" s="17" t="n"/>
      <c r="H167" s="43" t="n"/>
      <c r="I167" s="17" t="n"/>
      <c r="J167" s="17" t="n"/>
      <c r="K167" s="17" t="n"/>
      <c r="L167" s="17" t="n"/>
      <c r="M167" s="17" t="n"/>
      <c r="N167" s="17" t="n"/>
      <c r="O167" s="22">
        <f>IF(A167="","",IF(I167&lt;&gt;"済","判定保留",IF(OR(N167="",J167="",K167="",L167="",J167="未確認",K167="未確認"),"判定保留",IF(AND(J167="はい",L167="無"),"入力エラー（GxP対象でSOP無）",IFERROR(INDEX('判定表'!$D:$D,MATCH("W|"&amp;N167&amp;"|"&amp;IF(OR(J167="はい",K167="はい",L167="無"),"あり","なし"),'判定表'!$A:$A,0)),"判定表にない組み合わせ")))))</f>
        <v/>
      </c>
      <c r="P167" s="22">
        <f>IF(A167="","",IF(C167="","対象外",IF(COUNTIFS('システム'!$A$4:$A$200,C167,'システム'!$N$4:$N$200,"移管")&gt;0,"移管",IF(COUNTIFS('システム'!$A$4:$A$200,C167,'システム'!$N$4:$N$200,"留保")&gt;0,"留保","判定保留"))))</f>
        <v/>
      </c>
      <c r="Q167" s="22">
        <f>IF(A167="","",IF(P167&lt;&gt;"移管","—",IF(N167="","判定保留",IFERROR(INDEX('判定表'!$E:$E,MATCH("W|"&amp;N167&amp;"|なし",'判定表'!$A:$A,0)),"判定表にない回答"))))</f>
        <v/>
      </c>
    </row>
    <row r="168">
      <c r="A168" s="17" t="n"/>
      <c r="B168" s="17" t="n"/>
      <c r="C168" s="17" t="n"/>
      <c r="D168" s="22">
        <f>IF(C168="","",IFERROR(INDEX('システム'!$B:$B,MATCH(C168,'システム'!$A:$A,0)),"システムが未登録"))</f>
        <v/>
      </c>
      <c r="E168" s="17" t="n"/>
      <c r="F168" s="17" t="n"/>
      <c r="G168" s="17" t="n"/>
      <c r="H168" s="43" t="n"/>
      <c r="I168" s="17" t="n"/>
      <c r="J168" s="17" t="n"/>
      <c r="K168" s="17" t="n"/>
      <c r="L168" s="17" t="n"/>
      <c r="M168" s="17" t="n"/>
      <c r="N168" s="17" t="n"/>
      <c r="O168" s="22">
        <f>IF(A168="","",IF(I168&lt;&gt;"済","判定保留",IF(OR(N168="",J168="",K168="",L168="",J168="未確認",K168="未確認"),"判定保留",IF(AND(J168="はい",L168="無"),"入力エラー（GxP対象でSOP無）",IFERROR(INDEX('判定表'!$D:$D,MATCH("W|"&amp;N168&amp;"|"&amp;IF(OR(J168="はい",K168="はい",L168="無"),"あり","なし"),'判定表'!$A:$A,0)),"判定表にない組み合わせ")))))</f>
        <v/>
      </c>
      <c r="P168" s="22">
        <f>IF(A168="","",IF(C168="","対象外",IF(COUNTIFS('システム'!$A$4:$A$200,C168,'システム'!$N$4:$N$200,"移管")&gt;0,"移管",IF(COUNTIFS('システム'!$A$4:$A$200,C168,'システム'!$N$4:$N$200,"留保")&gt;0,"留保","判定保留"))))</f>
        <v/>
      </c>
      <c r="Q168" s="22">
        <f>IF(A168="","",IF(P168&lt;&gt;"移管","—",IF(N168="","判定保留",IFERROR(INDEX('判定表'!$E:$E,MATCH("W|"&amp;N168&amp;"|なし",'判定表'!$A:$A,0)),"判定表にない回答"))))</f>
        <v/>
      </c>
    </row>
    <row r="169">
      <c r="A169" s="17" t="n"/>
      <c r="B169" s="17" t="n"/>
      <c r="C169" s="17" t="n"/>
      <c r="D169" s="22">
        <f>IF(C169="","",IFERROR(INDEX('システム'!$B:$B,MATCH(C169,'システム'!$A:$A,0)),"システムが未登録"))</f>
        <v/>
      </c>
      <c r="E169" s="17" t="n"/>
      <c r="F169" s="17" t="n"/>
      <c r="G169" s="17" t="n"/>
      <c r="H169" s="43" t="n"/>
      <c r="I169" s="17" t="n"/>
      <c r="J169" s="17" t="n"/>
      <c r="K169" s="17" t="n"/>
      <c r="L169" s="17" t="n"/>
      <c r="M169" s="17" t="n"/>
      <c r="N169" s="17" t="n"/>
      <c r="O169" s="22">
        <f>IF(A169="","",IF(I169&lt;&gt;"済","判定保留",IF(OR(N169="",J169="",K169="",L169="",J169="未確認",K169="未確認"),"判定保留",IF(AND(J169="はい",L169="無"),"入力エラー（GxP対象でSOP無）",IFERROR(INDEX('判定表'!$D:$D,MATCH("W|"&amp;N169&amp;"|"&amp;IF(OR(J169="はい",K169="はい",L169="無"),"あり","なし"),'判定表'!$A:$A,0)),"判定表にない組み合わせ")))))</f>
        <v/>
      </c>
      <c r="P169" s="22">
        <f>IF(A169="","",IF(C169="","対象外",IF(COUNTIFS('システム'!$A$4:$A$200,C169,'システム'!$N$4:$N$200,"移管")&gt;0,"移管",IF(COUNTIFS('システム'!$A$4:$A$200,C169,'システム'!$N$4:$N$200,"留保")&gt;0,"留保","判定保留"))))</f>
        <v/>
      </c>
      <c r="Q169" s="22">
        <f>IF(A169="","",IF(P169&lt;&gt;"移管","—",IF(N169="","判定保留",IFERROR(INDEX('判定表'!$E:$E,MATCH("W|"&amp;N169&amp;"|なし",'判定表'!$A:$A,0)),"判定表にない回答"))))</f>
        <v/>
      </c>
    </row>
    <row r="170">
      <c r="A170" s="17" t="n"/>
      <c r="B170" s="17" t="n"/>
      <c r="C170" s="17" t="n"/>
      <c r="D170" s="22">
        <f>IF(C170="","",IFERROR(INDEX('システム'!$B:$B,MATCH(C170,'システム'!$A:$A,0)),"システムが未登録"))</f>
        <v/>
      </c>
      <c r="E170" s="17" t="n"/>
      <c r="F170" s="17" t="n"/>
      <c r="G170" s="17" t="n"/>
      <c r="H170" s="43" t="n"/>
      <c r="I170" s="17" t="n"/>
      <c r="J170" s="17" t="n"/>
      <c r="K170" s="17" t="n"/>
      <c r="L170" s="17" t="n"/>
      <c r="M170" s="17" t="n"/>
      <c r="N170" s="17" t="n"/>
      <c r="O170" s="22">
        <f>IF(A170="","",IF(I170&lt;&gt;"済","判定保留",IF(OR(N170="",J170="",K170="",L170="",J170="未確認",K170="未確認"),"判定保留",IF(AND(J170="はい",L170="無"),"入力エラー（GxP対象でSOP無）",IFERROR(INDEX('判定表'!$D:$D,MATCH("W|"&amp;N170&amp;"|"&amp;IF(OR(J170="はい",K170="はい",L170="無"),"あり","なし"),'判定表'!$A:$A,0)),"判定表にない組み合わせ")))))</f>
        <v/>
      </c>
      <c r="P170" s="22">
        <f>IF(A170="","",IF(C170="","対象外",IF(COUNTIFS('システム'!$A$4:$A$200,C170,'システム'!$N$4:$N$200,"移管")&gt;0,"移管",IF(COUNTIFS('システム'!$A$4:$A$200,C170,'システム'!$N$4:$N$200,"留保")&gt;0,"留保","判定保留"))))</f>
        <v/>
      </c>
      <c r="Q170" s="22">
        <f>IF(A170="","",IF(P170&lt;&gt;"移管","—",IF(N170="","判定保留",IFERROR(INDEX('判定表'!$E:$E,MATCH("W|"&amp;N170&amp;"|なし",'判定表'!$A:$A,0)),"判定表にない回答"))))</f>
        <v/>
      </c>
    </row>
    <row r="171">
      <c r="A171" s="17" t="n"/>
      <c r="B171" s="17" t="n"/>
      <c r="C171" s="17" t="n"/>
      <c r="D171" s="22">
        <f>IF(C171="","",IFERROR(INDEX('システム'!$B:$B,MATCH(C171,'システム'!$A:$A,0)),"システムが未登録"))</f>
        <v/>
      </c>
      <c r="E171" s="17" t="n"/>
      <c r="F171" s="17" t="n"/>
      <c r="G171" s="17" t="n"/>
      <c r="H171" s="43" t="n"/>
      <c r="I171" s="17" t="n"/>
      <c r="J171" s="17" t="n"/>
      <c r="K171" s="17" t="n"/>
      <c r="L171" s="17" t="n"/>
      <c r="M171" s="17" t="n"/>
      <c r="N171" s="17" t="n"/>
      <c r="O171" s="22">
        <f>IF(A171="","",IF(I171&lt;&gt;"済","判定保留",IF(OR(N171="",J171="",K171="",L171="",J171="未確認",K171="未確認"),"判定保留",IF(AND(J171="はい",L171="無"),"入力エラー（GxP対象でSOP無）",IFERROR(INDEX('判定表'!$D:$D,MATCH("W|"&amp;N171&amp;"|"&amp;IF(OR(J171="はい",K171="はい",L171="無"),"あり","なし"),'判定表'!$A:$A,0)),"判定表にない組み合わせ")))))</f>
        <v/>
      </c>
      <c r="P171" s="22">
        <f>IF(A171="","",IF(C171="","対象外",IF(COUNTIFS('システム'!$A$4:$A$200,C171,'システム'!$N$4:$N$200,"移管")&gt;0,"移管",IF(COUNTIFS('システム'!$A$4:$A$200,C171,'システム'!$N$4:$N$200,"留保")&gt;0,"留保","判定保留"))))</f>
        <v/>
      </c>
      <c r="Q171" s="22">
        <f>IF(A171="","",IF(P171&lt;&gt;"移管","—",IF(N171="","判定保留",IFERROR(INDEX('判定表'!$E:$E,MATCH("W|"&amp;N171&amp;"|なし",'判定表'!$A:$A,0)),"判定表にない回答"))))</f>
        <v/>
      </c>
    </row>
    <row r="172">
      <c r="A172" s="17" t="n"/>
      <c r="B172" s="17" t="n"/>
      <c r="C172" s="17" t="n"/>
      <c r="D172" s="22">
        <f>IF(C172="","",IFERROR(INDEX('システム'!$B:$B,MATCH(C172,'システム'!$A:$A,0)),"システムが未登録"))</f>
        <v/>
      </c>
      <c r="E172" s="17" t="n"/>
      <c r="F172" s="17" t="n"/>
      <c r="G172" s="17" t="n"/>
      <c r="H172" s="43" t="n"/>
      <c r="I172" s="17" t="n"/>
      <c r="J172" s="17" t="n"/>
      <c r="K172" s="17" t="n"/>
      <c r="L172" s="17" t="n"/>
      <c r="M172" s="17" t="n"/>
      <c r="N172" s="17" t="n"/>
      <c r="O172" s="22">
        <f>IF(A172="","",IF(I172&lt;&gt;"済","判定保留",IF(OR(N172="",J172="",K172="",L172="",J172="未確認",K172="未確認"),"判定保留",IF(AND(J172="はい",L172="無"),"入力エラー（GxP対象でSOP無）",IFERROR(INDEX('判定表'!$D:$D,MATCH("W|"&amp;N172&amp;"|"&amp;IF(OR(J172="はい",K172="はい",L172="無"),"あり","なし"),'判定表'!$A:$A,0)),"判定表にない組み合わせ")))))</f>
        <v/>
      </c>
      <c r="P172" s="22">
        <f>IF(A172="","",IF(C172="","対象外",IF(COUNTIFS('システム'!$A$4:$A$200,C172,'システム'!$N$4:$N$200,"移管")&gt;0,"移管",IF(COUNTIFS('システム'!$A$4:$A$200,C172,'システム'!$N$4:$N$200,"留保")&gt;0,"留保","判定保留"))))</f>
        <v/>
      </c>
      <c r="Q172" s="22">
        <f>IF(A172="","",IF(P172&lt;&gt;"移管","—",IF(N172="","判定保留",IFERROR(INDEX('判定表'!$E:$E,MATCH("W|"&amp;N172&amp;"|なし",'判定表'!$A:$A,0)),"判定表にない回答"))))</f>
        <v/>
      </c>
    </row>
    <row r="173">
      <c r="A173" s="17" t="n"/>
      <c r="B173" s="17" t="n"/>
      <c r="C173" s="17" t="n"/>
      <c r="D173" s="22">
        <f>IF(C173="","",IFERROR(INDEX('システム'!$B:$B,MATCH(C173,'システム'!$A:$A,0)),"システムが未登録"))</f>
        <v/>
      </c>
      <c r="E173" s="17" t="n"/>
      <c r="F173" s="17" t="n"/>
      <c r="G173" s="17" t="n"/>
      <c r="H173" s="43" t="n"/>
      <c r="I173" s="17" t="n"/>
      <c r="J173" s="17" t="n"/>
      <c r="K173" s="17" t="n"/>
      <c r="L173" s="17" t="n"/>
      <c r="M173" s="17" t="n"/>
      <c r="N173" s="17" t="n"/>
      <c r="O173" s="22">
        <f>IF(A173="","",IF(I173&lt;&gt;"済","判定保留",IF(OR(N173="",J173="",K173="",L173="",J173="未確認",K173="未確認"),"判定保留",IF(AND(J173="はい",L173="無"),"入力エラー（GxP対象でSOP無）",IFERROR(INDEX('判定表'!$D:$D,MATCH("W|"&amp;N173&amp;"|"&amp;IF(OR(J173="はい",K173="はい",L173="無"),"あり","なし"),'判定表'!$A:$A,0)),"判定表にない組み合わせ")))))</f>
        <v/>
      </c>
      <c r="P173" s="22">
        <f>IF(A173="","",IF(C173="","対象外",IF(COUNTIFS('システム'!$A$4:$A$200,C173,'システム'!$N$4:$N$200,"移管")&gt;0,"移管",IF(COUNTIFS('システム'!$A$4:$A$200,C173,'システム'!$N$4:$N$200,"留保")&gt;0,"留保","判定保留"))))</f>
        <v/>
      </c>
      <c r="Q173" s="22">
        <f>IF(A173="","",IF(P173&lt;&gt;"移管","—",IF(N173="","判定保留",IFERROR(INDEX('判定表'!$E:$E,MATCH("W|"&amp;N173&amp;"|なし",'判定表'!$A:$A,0)),"判定表にない回答"))))</f>
        <v/>
      </c>
    </row>
    <row r="174">
      <c r="A174" s="17" t="n"/>
      <c r="B174" s="17" t="n"/>
      <c r="C174" s="17" t="n"/>
      <c r="D174" s="22">
        <f>IF(C174="","",IFERROR(INDEX('システム'!$B:$B,MATCH(C174,'システム'!$A:$A,0)),"システムが未登録"))</f>
        <v/>
      </c>
      <c r="E174" s="17" t="n"/>
      <c r="F174" s="17" t="n"/>
      <c r="G174" s="17" t="n"/>
      <c r="H174" s="43" t="n"/>
      <c r="I174" s="17" t="n"/>
      <c r="J174" s="17" t="n"/>
      <c r="K174" s="17" t="n"/>
      <c r="L174" s="17" t="n"/>
      <c r="M174" s="17" t="n"/>
      <c r="N174" s="17" t="n"/>
      <c r="O174" s="22">
        <f>IF(A174="","",IF(I174&lt;&gt;"済","判定保留",IF(OR(N174="",J174="",K174="",L174="",J174="未確認",K174="未確認"),"判定保留",IF(AND(J174="はい",L174="無"),"入力エラー（GxP対象でSOP無）",IFERROR(INDEX('判定表'!$D:$D,MATCH("W|"&amp;N174&amp;"|"&amp;IF(OR(J174="はい",K174="はい",L174="無"),"あり","なし"),'判定表'!$A:$A,0)),"判定表にない組み合わせ")))))</f>
        <v/>
      </c>
      <c r="P174" s="22">
        <f>IF(A174="","",IF(C174="","対象外",IF(COUNTIFS('システム'!$A$4:$A$200,C174,'システム'!$N$4:$N$200,"移管")&gt;0,"移管",IF(COUNTIFS('システム'!$A$4:$A$200,C174,'システム'!$N$4:$N$200,"留保")&gt;0,"留保","判定保留"))))</f>
        <v/>
      </c>
      <c r="Q174" s="22">
        <f>IF(A174="","",IF(P174&lt;&gt;"移管","—",IF(N174="","判定保留",IFERROR(INDEX('判定表'!$E:$E,MATCH("W|"&amp;N174&amp;"|なし",'判定表'!$A:$A,0)),"判定表にない回答"))))</f>
        <v/>
      </c>
    </row>
    <row r="175">
      <c r="A175" s="17" t="n"/>
      <c r="B175" s="17" t="n"/>
      <c r="C175" s="17" t="n"/>
      <c r="D175" s="22">
        <f>IF(C175="","",IFERROR(INDEX('システム'!$B:$B,MATCH(C175,'システム'!$A:$A,0)),"システムが未登録"))</f>
        <v/>
      </c>
      <c r="E175" s="17" t="n"/>
      <c r="F175" s="17" t="n"/>
      <c r="G175" s="17" t="n"/>
      <c r="H175" s="43" t="n"/>
      <c r="I175" s="17" t="n"/>
      <c r="J175" s="17" t="n"/>
      <c r="K175" s="17" t="n"/>
      <c r="L175" s="17" t="n"/>
      <c r="M175" s="17" t="n"/>
      <c r="N175" s="17" t="n"/>
      <c r="O175" s="22">
        <f>IF(A175="","",IF(I175&lt;&gt;"済","判定保留",IF(OR(N175="",J175="",K175="",L175="",J175="未確認",K175="未確認"),"判定保留",IF(AND(J175="はい",L175="無"),"入力エラー（GxP対象でSOP無）",IFERROR(INDEX('判定表'!$D:$D,MATCH("W|"&amp;N175&amp;"|"&amp;IF(OR(J175="はい",K175="はい",L175="無"),"あり","なし"),'判定表'!$A:$A,0)),"判定表にない組み合わせ")))))</f>
        <v/>
      </c>
      <c r="P175" s="22">
        <f>IF(A175="","",IF(C175="","対象外",IF(COUNTIFS('システム'!$A$4:$A$200,C175,'システム'!$N$4:$N$200,"移管")&gt;0,"移管",IF(COUNTIFS('システム'!$A$4:$A$200,C175,'システム'!$N$4:$N$200,"留保")&gt;0,"留保","判定保留"))))</f>
        <v/>
      </c>
      <c r="Q175" s="22">
        <f>IF(A175="","",IF(P175&lt;&gt;"移管","—",IF(N175="","判定保留",IFERROR(INDEX('判定表'!$E:$E,MATCH("W|"&amp;N175&amp;"|なし",'判定表'!$A:$A,0)),"判定表にない回答"))))</f>
        <v/>
      </c>
    </row>
    <row r="176">
      <c r="A176" s="17" t="n"/>
      <c r="B176" s="17" t="n"/>
      <c r="C176" s="17" t="n"/>
      <c r="D176" s="22">
        <f>IF(C176="","",IFERROR(INDEX('システム'!$B:$B,MATCH(C176,'システム'!$A:$A,0)),"システムが未登録"))</f>
        <v/>
      </c>
      <c r="E176" s="17" t="n"/>
      <c r="F176" s="17" t="n"/>
      <c r="G176" s="17" t="n"/>
      <c r="H176" s="43" t="n"/>
      <c r="I176" s="17" t="n"/>
      <c r="J176" s="17" t="n"/>
      <c r="K176" s="17" t="n"/>
      <c r="L176" s="17" t="n"/>
      <c r="M176" s="17" t="n"/>
      <c r="N176" s="17" t="n"/>
      <c r="O176" s="22">
        <f>IF(A176="","",IF(I176&lt;&gt;"済","判定保留",IF(OR(N176="",J176="",K176="",L176="",J176="未確認",K176="未確認"),"判定保留",IF(AND(J176="はい",L176="無"),"入力エラー（GxP対象でSOP無）",IFERROR(INDEX('判定表'!$D:$D,MATCH("W|"&amp;N176&amp;"|"&amp;IF(OR(J176="はい",K176="はい",L176="無"),"あり","なし"),'判定表'!$A:$A,0)),"判定表にない組み合わせ")))))</f>
        <v/>
      </c>
      <c r="P176" s="22">
        <f>IF(A176="","",IF(C176="","対象外",IF(COUNTIFS('システム'!$A$4:$A$200,C176,'システム'!$N$4:$N$200,"移管")&gt;0,"移管",IF(COUNTIFS('システム'!$A$4:$A$200,C176,'システム'!$N$4:$N$200,"留保")&gt;0,"留保","判定保留"))))</f>
        <v/>
      </c>
      <c r="Q176" s="22">
        <f>IF(A176="","",IF(P176&lt;&gt;"移管","—",IF(N176="","判定保留",IFERROR(INDEX('判定表'!$E:$E,MATCH("W|"&amp;N176&amp;"|なし",'判定表'!$A:$A,0)),"判定表にない回答"))))</f>
        <v/>
      </c>
    </row>
    <row r="177">
      <c r="A177" s="17" t="n"/>
      <c r="B177" s="17" t="n"/>
      <c r="C177" s="17" t="n"/>
      <c r="D177" s="22">
        <f>IF(C177="","",IFERROR(INDEX('システム'!$B:$B,MATCH(C177,'システム'!$A:$A,0)),"システムが未登録"))</f>
        <v/>
      </c>
      <c r="E177" s="17" t="n"/>
      <c r="F177" s="17" t="n"/>
      <c r="G177" s="17" t="n"/>
      <c r="H177" s="43" t="n"/>
      <c r="I177" s="17" t="n"/>
      <c r="J177" s="17" t="n"/>
      <c r="K177" s="17" t="n"/>
      <c r="L177" s="17" t="n"/>
      <c r="M177" s="17" t="n"/>
      <c r="N177" s="17" t="n"/>
      <c r="O177" s="22">
        <f>IF(A177="","",IF(I177&lt;&gt;"済","判定保留",IF(OR(N177="",J177="",K177="",L177="",J177="未確認",K177="未確認"),"判定保留",IF(AND(J177="はい",L177="無"),"入力エラー（GxP対象でSOP無）",IFERROR(INDEX('判定表'!$D:$D,MATCH("W|"&amp;N177&amp;"|"&amp;IF(OR(J177="はい",K177="はい",L177="無"),"あり","なし"),'判定表'!$A:$A,0)),"判定表にない組み合わせ")))))</f>
        <v/>
      </c>
      <c r="P177" s="22">
        <f>IF(A177="","",IF(C177="","対象外",IF(COUNTIFS('システム'!$A$4:$A$200,C177,'システム'!$N$4:$N$200,"移管")&gt;0,"移管",IF(COUNTIFS('システム'!$A$4:$A$200,C177,'システム'!$N$4:$N$200,"留保")&gt;0,"留保","判定保留"))))</f>
        <v/>
      </c>
      <c r="Q177" s="22">
        <f>IF(A177="","",IF(P177&lt;&gt;"移管","—",IF(N177="","判定保留",IFERROR(INDEX('判定表'!$E:$E,MATCH("W|"&amp;N177&amp;"|なし",'判定表'!$A:$A,0)),"判定表にない回答"))))</f>
        <v/>
      </c>
    </row>
    <row r="178">
      <c r="A178" s="17" t="n"/>
      <c r="B178" s="17" t="n"/>
      <c r="C178" s="17" t="n"/>
      <c r="D178" s="22">
        <f>IF(C178="","",IFERROR(INDEX('システム'!$B:$B,MATCH(C178,'システム'!$A:$A,0)),"システムが未登録"))</f>
        <v/>
      </c>
      <c r="E178" s="17" t="n"/>
      <c r="F178" s="17" t="n"/>
      <c r="G178" s="17" t="n"/>
      <c r="H178" s="43" t="n"/>
      <c r="I178" s="17" t="n"/>
      <c r="J178" s="17" t="n"/>
      <c r="K178" s="17" t="n"/>
      <c r="L178" s="17" t="n"/>
      <c r="M178" s="17" t="n"/>
      <c r="N178" s="17" t="n"/>
      <c r="O178" s="22">
        <f>IF(A178="","",IF(I178&lt;&gt;"済","判定保留",IF(OR(N178="",J178="",K178="",L178="",J178="未確認",K178="未確認"),"判定保留",IF(AND(J178="はい",L178="無"),"入力エラー（GxP対象でSOP無）",IFERROR(INDEX('判定表'!$D:$D,MATCH("W|"&amp;N178&amp;"|"&amp;IF(OR(J178="はい",K178="はい",L178="無"),"あり","なし"),'判定表'!$A:$A,0)),"判定表にない組み合わせ")))))</f>
        <v/>
      </c>
      <c r="P178" s="22">
        <f>IF(A178="","",IF(C178="","対象外",IF(COUNTIFS('システム'!$A$4:$A$200,C178,'システム'!$N$4:$N$200,"移管")&gt;0,"移管",IF(COUNTIFS('システム'!$A$4:$A$200,C178,'システム'!$N$4:$N$200,"留保")&gt;0,"留保","判定保留"))))</f>
        <v/>
      </c>
      <c r="Q178" s="22">
        <f>IF(A178="","",IF(P178&lt;&gt;"移管","—",IF(N178="","判定保留",IFERROR(INDEX('判定表'!$E:$E,MATCH("W|"&amp;N178&amp;"|なし",'判定表'!$A:$A,0)),"判定表にない回答"))))</f>
        <v/>
      </c>
    </row>
    <row r="179">
      <c r="A179" s="17" t="n"/>
      <c r="B179" s="17" t="n"/>
      <c r="C179" s="17" t="n"/>
      <c r="D179" s="22">
        <f>IF(C179="","",IFERROR(INDEX('システム'!$B:$B,MATCH(C179,'システム'!$A:$A,0)),"システムが未登録"))</f>
        <v/>
      </c>
      <c r="E179" s="17" t="n"/>
      <c r="F179" s="17" t="n"/>
      <c r="G179" s="17" t="n"/>
      <c r="H179" s="43" t="n"/>
      <c r="I179" s="17" t="n"/>
      <c r="J179" s="17" t="n"/>
      <c r="K179" s="17" t="n"/>
      <c r="L179" s="17" t="n"/>
      <c r="M179" s="17" t="n"/>
      <c r="N179" s="17" t="n"/>
      <c r="O179" s="22">
        <f>IF(A179="","",IF(I179&lt;&gt;"済","判定保留",IF(OR(N179="",J179="",K179="",L179="",J179="未確認",K179="未確認"),"判定保留",IF(AND(J179="はい",L179="無"),"入力エラー（GxP対象でSOP無）",IFERROR(INDEX('判定表'!$D:$D,MATCH("W|"&amp;N179&amp;"|"&amp;IF(OR(J179="はい",K179="はい",L179="無"),"あり","なし"),'判定表'!$A:$A,0)),"判定表にない組み合わせ")))))</f>
        <v/>
      </c>
      <c r="P179" s="22">
        <f>IF(A179="","",IF(C179="","対象外",IF(COUNTIFS('システム'!$A$4:$A$200,C179,'システム'!$N$4:$N$200,"移管")&gt;0,"移管",IF(COUNTIFS('システム'!$A$4:$A$200,C179,'システム'!$N$4:$N$200,"留保")&gt;0,"留保","判定保留"))))</f>
        <v/>
      </c>
      <c r="Q179" s="22">
        <f>IF(A179="","",IF(P179&lt;&gt;"移管","—",IF(N179="","判定保留",IFERROR(INDEX('判定表'!$E:$E,MATCH("W|"&amp;N179&amp;"|なし",'判定表'!$A:$A,0)),"判定表にない回答"))))</f>
        <v/>
      </c>
    </row>
    <row r="180">
      <c r="A180" s="17" t="n"/>
      <c r="B180" s="17" t="n"/>
      <c r="C180" s="17" t="n"/>
      <c r="D180" s="22">
        <f>IF(C180="","",IFERROR(INDEX('システム'!$B:$B,MATCH(C180,'システム'!$A:$A,0)),"システムが未登録"))</f>
        <v/>
      </c>
      <c r="E180" s="17" t="n"/>
      <c r="F180" s="17" t="n"/>
      <c r="G180" s="17" t="n"/>
      <c r="H180" s="43" t="n"/>
      <c r="I180" s="17" t="n"/>
      <c r="J180" s="17" t="n"/>
      <c r="K180" s="17" t="n"/>
      <c r="L180" s="17" t="n"/>
      <c r="M180" s="17" t="n"/>
      <c r="N180" s="17" t="n"/>
      <c r="O180" s="22">
        <f>IF(A180="","",IF(I180&lt;&gt;"済","判定保留",IF(OR(N180="",J180="",K180="",L180="",J180="未確認",K180="未確認"),"判定保留",IF(AND(J180="はい",L180="無"),"入力エラー（GxP対象でSOP無）",IFERROR(INDEX('判定表'!$D:$D,MATCH("W|"&amp;N180&amp;"|"&amp;IF(OR(J180="はい",K180="はい",L180="無"),"あり","なし"),'判定表'!$A:$A,0)),"判定表にない組み合わせ")))))</f>
        <v/>
      </c>
      <c r="P180" s="22">
        <f>IF(A180="","",IF(C180="","対象外",IF(COUNTIFS('システム'!$A$4:$A$200,C180,'システム'!$N$4:$N$200,"移管")&gt;0,"移管",IF(COUNTIFS('システム'!$A$4:$A$200,C180,'システム'!$N$4:$N$200,"留保")&gt;0,"留保","判定保留"))))</f>
        <v/>
      </c>
      <c r="Q180" s="22">
        <f>IF(A180="","",IF(P180&lt;&gt;"移管","—",IF(N180="","判定保留",IFERROR(INDEX('判定表'!$E:$E,MATCH("W|"&amp;N180&amp;"|なし",'判定表'!$A:$A,0)),"判定表にない回答"))))</f>
        <v/>
      </c>
    </row>
    <row r="181">
      <c r="A181" s="17" t="n"/>
      <c r="B181" s="17" t="n"/>
      <c r="C181" s="17" t="n"/>
      <c r="D181" s="22">
        <f>IF(C181="","",IFERROR(INDEX('システム'!$B:$B,MATCH(C181,'システム'!$A:$A,0)),"システムが未登録"))</f>
        <v/>
      </c>
      <c r="E181" s="17" t="n"/>
      <c r="F181" s="17" t="n"/>
      <c r="G181" s="17" t="n"/>
      <c r="H181" s="43" t="n"/>
      <c r="I181" s="17" t="n"/>
      <c r="J181" s="17" t="n"/>
      <c r="K181" s="17" t="n"/>
      <c r="L181" s="17" t="n"/>
      <c r="M181" s="17" t="n"/>
      <c r="N181" s="17" t="n"/>
      <c r="O181" s="22">
        <f>IF(A181="","",IF(I181&lt;&gt;"済","判定保留",IF(OR(N181="",J181="",K181="",L181="",J181="未確認",K181="未確認"),"判定保留",IF(AND(J181="はい",L181="無"),"入力エラー（GxP対象でSOP無）",IFERROR(INDEX('判定表'!$D:$D,MATCH("W|"&amp;N181&amp;"|"&amp;IF(OR(J181="はい",K181="はい",L181="無"),"あり","なし"),'判定表'!$A:$A,0)),"判定表にない組み合わせ")))))</f>
        <v/>
      </c>
      <c r="P181" s="22">
        <f>IF(A181="","",IF(C181="","対象外",IF(COUNTIFS('システム'!$A$4:$A$200,C181,'システム'!$N$4:$N$200,"移管")&gt;0,"移管",IF(COUNTIFS('システム'!$A$4:$A$200,C181,'システム'!$N$4:$N$200,"留保")&gt;0,"留保","判定保留"))))</f>
        <v/>
      </c>
      <c r="Q181" s="22">
        <f>IF(A181="","",IF(P181&lt;&gt;"移管","—",IF(N181="","判定保留",IFERROR(INDEX('判定表'!$E:$E,MATCH("W|"&amp;N181&amp;"|なし",'判定表'!$A:$A,0)),"判定表にない回答"))))</f>
        <v/>
      </c>
    </row>
    <row r="182">
      <c r="A182" s="17" t="n"/>
      <c r="B182" s="17" t="n"/>
      <c r="C182" s="17" t="n"/>
      <c r="D182" s="22">
        <f>IF(C182="","",IFERROR(INDEX('システム'!$B:$B,MATCH(C182,'システム'!$A:$A,0)),"システムが未登録"))</f>
        <v/>
      </c>
      <c r="E182" s="17" t="n"/>
      <c r="F182" s="17" t="n"/>
      <c r="G182" s="17" t="n"/>
      <c r="H182" s="43" t="n"/>
      <c r="I182" s="17" t="n"/>
      <c r="J182" s="17" t="n"/>
      <c r="K182" s="17" t="n"/>
      <c r="L182" s="17" t="n"/>
      <c r="M182" s="17" t="n"/>
      <c r="N182" s="17" t="n"/>
      <c r="O182" s="22">
        <f>IF(A182="","",IF(I182&lt;&gt;"済","判定保留",IF(OR(N182="",J182="",K182="",L182="",J182="未確認",K182="未確認"),"判定保留",IF(AND(J182="はい",L182="無"),"入力エラー（GxP対象でSOP無）",IFERROR(INDEX('判定表'!$D:$D,MATCH("W|"&amp;N182&amp;"|"&amp;IF(OR(J182="はい",K182="はい",L182="無"),"あり","なし"),'判定表'!$A:$A,0)),"判定表にない組み合わせ")))))</f>
        <v/>
      </c>
      <c r="P182" s="22">
        <f>IF(A182="","",IF(C182="","対象外",IF(COUNTIFS('システム'!$A$4:$A$200,C182,'システム'!$N$4:$N$200,"移管")&gt;0,"移管",IF(COUNTIFS('システム'!$A$4:$A$200,C182,'システム'!$N$4:$N$200,"留保")&gt;0,"留保","判定保留"))))</f>
        <v/>
      </c>
      <c r="Q182" s="22">
        <f>IF(A182="","",IF(P182&lt;&gt;"移管","—",IF(N182="","判定保留",IFERROR(INDEX('判定表'!$E:$E,MATCH("W|"&amp;N182&amp;"|なし",'判定表'!$A:$A,0)),"判定表にない回答"))))</f>
        <v/>
      </c>
    </row>
    <row r="183">
      <c r="A183" s="17" t="n"/>
      <c r="B183" s="17" t="n"/>
      <c r="C183" s="17" t="n"/>
      <c r="D183" s="22">
        <f>IF(C183="","",IFERROR(INDEX('システム'!$B:$B,MATCH(C183,'システム'!$A:$A,0)),"システムが未登録"))</f>
        <v/>
      </c>
      <c r="E183" s="17" t="n"/>
      <c r="F183" s="17" t="n"/>
      <c r="G183" s="17" t="n"/>
      <c r="H183" s="43" t="n"/>
      <c r="I183" s="17" t="n"/>
      <c r="J183" s="17" t="n"/>
      <c r="K183" s="17" t="n"/>
      <c r="L183" s="17" t="n"/>
      <c r="M183" s="17" t="n"/>
      <c r="N183" s="17" t="n"/>
      <c r="O183" s="22">
        <f>IF(A183="","",IF(I183&lt;&gt;"済","判定保留",IF(OR(N183="",J183="",K183="",L183="",J183="未確認",K183="未確認"),"判定保留",IF(AND(J183="はい",L183="無"),"入力エラー（GxP対象でSOP無）",IFERROR(INDEX('判定表'!$D:$D,MATCH("W|"&amp;N183&amp;"|"&amp;IF(OR(J183="はい",K183="はい",L183="無"),"あり","なし"),'判定表'!$A:$A,0)),"判定表にない組み合わせ")))))</f>
        <v/>
      </c>
      <c r="P183" s="22">
        <f>IF(A183="","",IF(C183="","対象外",IF(COUNTIFS('システム'!$A$4:$A$200,C183,'システム'!$N$4:$N$200,"移管")&gt;0,"移管",IF(COUNTIFS('システム'!$A$4:$A$200,C183,'システム'!$N$4:$N$200,"留保")&gt;0,"留保","判定保留"))))</f>
        <v/>
      </c>
      <c r="Q183" s="22">
        <f>IF(A183="","",IF(P183&lt;&gt;"移管","—",IF(N183="","判定保留",IFERROR(INDEX('判定表'!$E:$E,MATCH("W|"&amp;N183&amp;"|なし",'判定表'!$A:$A,0)),"判定表にない回答"))))</f>
        <v/>
      </c>
    </row>
    <row r="184">
      <c r="A184" s="17" t="n"/>
      <c r="B184" s="17" t="n"/>
      <c r="C184" s="17" t="n"/>
      <c r="D184" s="22">
        <f>IF(C184="","",IFERROR(INDEX('システム'!$B:$B,MATCH(C184,'システム'!$A:$A,0)),"システムが未登録"))</f>
        <v/>
      </c>
      <c r="E184" s="17" t="n"/>
      <c r="F184" s="17" t="n"/>
      <c r="G184" s="17" t="n"/>
      <c r="H184" s="43" t="n"/>
      <c r="I184" s="17" t="n"/>
      <c r="J184" s="17" t="n"/>
      <c r="K184" s="17" t="n"/>
      <c r="L184" s="17" t="n"/>
      <c r="M184" s="17" t="n"/>
      <c r="N184" s="17" t="n"/>
      <c r="O184" s="22">
        <f>IF(A184="","",IF(I184&lt;&gt;"済","判定保留",IF(OR(N184="",J184="",K184="",L184="",J184="未確認",K184="未確認"),"判定保留",IF(AND(J184="はい",L184="無"),"入力エラー（GxP対象でSOP無）",IFERROR(INDEX('判定表'!$D:$D,MATCH("W|"&amp;N184&amp;"|"&amp;IF(OR(J184="はい",K184="はい",L184="無"),"あり","なし"),'判定表'!$A:$A,0)),"判定表にない組み合わせ")))))</f>
        <v/>
      </c>
      <c r="P184" s="22">
        <f>IF(A184="","",IF(C184="","対象外",IF(COUNTIFS('システム'!$A$4:$A$200,C184,'システム'!$N$4:$N$200,"移管")&gt;0,"移管",IF(COUNTIFS('システム'!$A$4:$A$200,C184,'システム'!$N$4:$N$200,"留保")&gt;0,"留保","判定保留"))))</f>
        <v/>
      </c>
      <c r="Q184" s="22">
        <f>IF(A184="","",IF(P184&lt;&gt;"移管","—",IF(N184="","判定保留",IFERROR(INDEX('判定表'!$E:$E,MATCH("W|"&amp;N184&amp;"|なし",'判定表'!$A:$A,0)),"判定表にない回答"))))</f>
        <v/>
      </c>
    </row>
    <row r="185">
      <c r="A185" s="17" t="n"/>
      <c r="B185" s="17" t="n"/>
      <c r="C185" s="17" t="n"/>
      <c r="D185" s="22">
        <f>IF(C185="","",IFERROR(INDEX('システム'!$B:$B,MATCH(C185,'システム'!$A:$A,0)),"システムが未登録"))</f>
        <v/>
      </c>
      <c r="E185" s="17" t="n"/>
      <c r="F185" s="17" t="n"/>
      <c r="G185" s="17" t="n"/>
      <c r="H185" s="43" t="n"/>
      <c r="I185" s="17" t="n"/>
      <c r="J185" s="17" t="n"/>
      <c r="K185" s="17" t="n"/>
      <c r="L185" s="17" t="n"/>
      <c r="M185" s="17" t="n"/>
      <c r="N185" s="17" t="n"/>
      <c r="O185" s="22">
        <f>IF(A185="","",IF(I185&lt;&gt;"済","判定保留",IF(OR(N185="",J185="",K185="",L185="",J185="未確認",K185="未確認"),"判定保留",IF(AND(J185="はい",L185="無"),"入力エラー（GxP対象でSOP無）",IFERROR(INDEX('判定表'!$D:$D,MATCH("W|"&amp;N185&amp;"|"&amp;IF(OR(J185="はい",K185="はい",L185="無"),"あり","なし"),'判定表'!$A:$A,0)),"判定表にない組み合わせ")))))</f>
        <v/>
      </c>
      <c r="P185" s="22">
        <f>IF(A185="","",IF(C185="","対象外",IF(COUNTIFS('システム'!$A$4:$A$200,C185,'システム'!$N$4:$N$200,"移管")&gt;0,"移管",IF(COUNTIFS('システム'!$A$4:$A$200,C185,'システム'!$N$4:$N$200,"留保")&gt;0,"留保","判定保留"))))</f>
        <v/>
      </c>
      <c r="Q185" s="22">
        <f>IF(A185="","",IF(P185&lt;&gt;"移管","—",IF(N185="","判定保留",IFERROR(INDEX('判定表'!$E:$E,MATCH("W|"&amp;N185&amp;"|なし",'判定表'!$A:$A,0)),"判定表にない回答"))))</f>
        <v/>
      </c>
    </row>
    <row r="186">
      <c r="A186" s="17" t="n"/>
      <c r="B186" s="17" t="n"/>
      <c r="C186" s="17" t="n"/>
      <c r="D186" s="22">
        <f>IF(C186="","",IFERROR(INDEX('システム'!$B:$B,MATCH(C186,'システム'!$A:$A,0)),"システムが未登録"))</f>
        <v/>
      </c>
      <c r="E186" s="17" t="n"/>
      <c r="F186" s="17" t="n"/>
      <c r="G186" s="17" t="n"/>
      <c r="H186" s="43" t="n"/>
      <c r="I186" s="17" t="n"/>
      <c r="J186" s="17" t="n"/>
      <c r="K186" s="17" t="n"/>
      <c r="L186" s="17" t="n"/>
      <c r="M186" s="17" t="n"/>
      <c r="N186" s="17" t="n"/>
      <c r="O186" s="22">
        <f>IF(A186="","",IF(I186&lt;&gt;"済","判定保留",IF(OR(N186="",J186="",K186="",L186="",J186="未確認",K186="未確認"),"判定保留",IF(AND(J186="はい",L186="無"),"入力エラー（GxP対象でSOP無）",IFERROR(INDEX('判定表'!$D:$D,MATCH("W|"&amp;N186&amp;"|"&amp;IF(OR(J186="はい",K186="はい",L186="無"),"あり","なし"),'判定表'!$A:$A,0)),"判定表にない組み合わせ")))))</f>
        <v/>
      </c>
      <c r="P186" s="22">
        <f>IF(A186="","",IF(C186="","対象外",IF(COUNTIFS('システム'!$A$4:$A$200,C186,'システム'!$N$4:$N$200,"移管")&gt;0,"移管",IF(COUNTIFS('システム'!$A$4:$A$200,C186,'システム'!$N$4:$N$200,"留保")&gt;0,"留保","判定保留"))))</f>
        <v/>
      </c>
      <c r="Q186" s="22">
        <f>IF(A186="","",IF(P186&lt;&gt;"移管","—",IF(N186="","判定保留",IFERROR(INDEX('判定表'!$E:$E,MATCH("W|"&amp;N186&amp;"|なし",'判定表'!$A:$A,0)),"判定表にない回答"))))</f>
        <v/>
      </c>
    </row>
    <row r="187">
      <c r="A187" s="17" t="n"/>
      <c r="B187" s="17" t="n"/>
      <c r="C187" s="17" t="n"/>
      <c r="D187" s="22">
        <f>IF(C187="","",IFERROR(INDEX('システム'!$B:$B,MATCH(C187,'システム'!$A:$A,0)),"システムが未登録"))</f>
        <v/>
      </c>
      <c r="E187" s="17" t="n"/>
      <c r="F187" s="17" t="n"/>
      <c r="G187" s="17" t="n"/>
      <c r="H187" s="43" t="n"/>
      <c r="I187" s="17" t="n"/>
      <c r="J187" s="17" t="n"/>
      <c r="K187" s="17" t="n"/>
      <c r="L187" s="17" t="n"/>
      <c r="M187" s="17" t="n"/>
      <c r="N187" s="17" t="n"/>
      <c r="O187" s="22">
        <f>IF(A187="","",IF(I187&lt;&gt;"済","判定保留",IF(OR(N187="",J187="",K187="",L187="",J187="未確認",K187="未確認"),"判定保留",IF(AND(J187="はい",L187="無"),"入力エラー（GxP対象でSOP無）",IFERROR(INDEX('判定表'!$D:$D,MATCH("W|"&amp;N187&amp;"|"&amp;IF(OR(J187="はい",K187="はい",L187="無"),"あり","なし"),'判定表'!$A:$A,0)),"判定表にない組み合わせ")))))</f>
        <v/>
      </c>
      <c r="P187" s="22">
        <f>IF(A187="","",IF(C187="","対象外",IF(COUNTIFS('システム'!$A$4:$A$200,C187,'システム'!$N$4:$N$200,"移管")&gt;0,"移管",IF(COUNTIFS('システム'!$A$4:$A$200,C187,'システム'!$N$4:$N$200,"留保")&gt;0,"留保","判定保留"))))</f>
        <v/>
      </c>
      <c r="Q187" s="22">
        <f>IF(A187="","",IF(P187&lt;&gt;"移管","—",IF(N187="","判定保留",IFERROR(INDEX('判定表'!$E:$E,MATCH("W|"&amp;N187&amp;"|なし",'判定表'!$A:$A,0)),"判定表にない回答"))))</f>
        <v/>
      </c>
    </row>
    <row r="188">
      <c r="A188" s="17" t="n"/>
      <c r="B188" s="17" t="n"/>
      <c r="C188" s="17" t="n"/>
      <c r="D188" s="22">
        <f>IF(C188="","",IFERROR(INDEX('システム'!$B:$B,MATCH(C188,'システム'!$A:$A,0)),"システムが未登録"))</f>
        <v/>
      </c>
      <c r="E188" s="17" t="n"/>
      <c r="F188" s="17" t="n"/>
      <c r="G188" s="17" t="n"/>
      <c r="H188" s="43" t="n"/>
      <c r="I188" s="17" t="n"/>
      <c r="J188" s="17" t="n"/>
      <c r="K188" s="17" t="n"/>
      <c r="L188" s="17" t="n"/>
      <c r="M188" s="17" t="n"/>
      <c r="N188" s="17" t="n"/>
      <c r="O188" s="22">
        <f>IF(A188="","",IF(I188&lt;&gt;"済","判定保留",IF(OR(N188="",J188="",K188="",L188="",J188="未確認",K188="未確認"),"判定保留",IF(AND(J188="はい",L188="無"),"入力エラー（GxP対象でSOP無）",IFERROR(INDEX('判定表'!$D:$D,MATCH("W|"&amp;N188&amp;"|"&amp;IF(OR(J188="はい",K188="はい",L188="無"),"あり","なし"),'判定表'!$A:$A,0)),"判定表にない組み合わせ")))))</f>
        <v/>
      </c>
      <c r="P188" s="22">
        <f>IF(A188="","",IF(C188="","対象外",IF(COUNTIFS('システム'!$A$4:$A$200,C188,'システム'!$N$4:$N$200,"移管")&gt;0,"移管",IF(COUNTIFS('システム'!$A$4:$A$200,C188,'システム'!$N$4:$N$200,"留保")&gt;0,"留保","判定保留"))))</f>
        <v/>
      </c>
      <c r="Q188" s="22">
        <f>IF(A188="","",IF(P188&lt;&gt;"移管","—",IF(N188="","判定保留",IFERROR(INDEX('判定表'!$E:$E,MATCH("W|"&amp;N188&amp;"|なし",'判定表'!$A:$A,0)),"判定表にない回答"))))</f>
        <v/>
      </c>
    </row>
    <row r="189">
      <c r="A189" s="17" t="n"/>
      <c r="B189" s="17" t="n"/>
      <c r="C189" s="17" t="n"/>
      <c r="D189" s="22">
        <f>IF(C189="","",IFERROR(INDEX('システム'!$B:$B,MATCH(C189,'システム'!$A:$A,0)),"システムが未登録"))</f>
        <v/>
      </c>
      <c r="E189" s="17" t="n"/>
      <c r="F189" s="17" t="n"/>
      <c r="G189" s="17" t="n"/>
      <c r="H189" s="43" t="n"/>
      <c r="I189" s="17" t="n"/>
      <c r="J189" s="17" t="n"/>
      <c r="K189" s="17" t="n"/>
      <c r="L189" s="17" t="n"/>
      <c r="M189" s="17" t="n"/>
      <c r="N189" s="17" t="n"/>
      <c r="O189" s="22">
        <f>IF(A189="","",IF(I189&lt;&gt;"済","判定保留",IF(OR(N189="",J189="",K189="",L189="",J189="未確認",K189="未確認"),"判定保留",IF(AND(J189="はい",L189="無"),"入力エラー（GxP対象でSOP無）",IFERROR(INDEX('判定表'!$D:$D,MATCH("W|"&amp;N189&amp;"|"&amp;IF(OR(J189="はい",K189="はい",L189="無"),"あり","なし"),'判定表'!$A:$A,0)),"判定表にない組み合わせ")))))</f>
        <v/>
      </c>
      <c r="P189" s="22">
        <f>IF(A189="","",IF(C189="","対象外",IF(COUNTIFS('システム'!$A$4:$A$200,C189,'システム'!$N$4:$N$200,"移管")&gt;0,"移管",IF(COUNTIFS('システム'!$A$4:$A$200,C189,'システム'!$N$4:$N$200,"留保")&gt;0,"留保","判定保留"))))</f>
        <v/>
      </c>
      <c r="Q189" s="22">
        <f>IF(A189="","",IF(P189&lt;&gt;"移管","—",IF(N189="","判定保留",IFERROR(INDEX('判定表'!$E:$E,MATCH("W|"&amp;N189&amp;"|なし",'判定表'!$A:$A,0)),"判定表にない回答"))))</f>
        <v/>
      </c>
    </row>
    <row r="190">
      <c r="A190" s="17" t="n"/>
      <c r="B190" s="17" t="n"/>
      <c r="C190" s="17" t="n"/>
      <c r="D190" s="22">
        <f>IF(C190="","",IFERROR(INDEX('システム'!$B:$B,MATCH(C190,'システム'!$A:$A,0)),"システムが未登録"))</f>
        <v/>
      </c>
      <c r="E190" s="17" t="n"/>
      <c r="F190" s="17" t="n"/>
      <c r="G190" s="17" t="n"/>
      <c r="H190" s="43" t="n"/>
      <c r="I190" s="17" t="n"/>
      <c r="J190" s="17" t="n"/>
      <c r="K190" s="17" t="n"/>
      <c r="L190" s="17" t="n"/>
      <c r="M190" s="17" t="n"/>
      <c r="N190" s="17" t="n"/>
      <c r="O190" s="22">
        <f>IF(A190="","",IF(I190&lt;&gt;"済","判定保留",IF(OR(N190="",J190="",K190="",L190="",J190="未確認",K190="未確認"),"判定保留",IF(AND(J190="はい",L190="無"),"入力エラー（GxP対象でSOP無）",IFERROR(INDEX('判定表'!$D:$D,MATCH("W|"&amp;N190&amp;"|"&amp;IF(OR(J190="はい",K190="はい",L190="無"),"あり","なし"),'判定表'!$A:$A,0)),"判定表にない組み合わせ")))))</f>
        <v/>
      </c>
      <c r="P190" s="22">
        <f>IF(A190="","",IF(C190="","対象外",IF(COUNTIFS('システム'!$A$4:$A$200,C190,'システム'!$N$4:$N$200,"移管")&gt;0,"移管",IF(COUNTIFS('システム'!$A$4:$A$200,C190,'システム'!$N$4:$N$200,"留保")&gt;0,"留保","判定保留"))))</f>
        <v/>
      </c>
      <c r="Q190" s="22">
        <f>IF(A190="","",IF(P190&lt;&gt;"移管","—",IF(N190="","判定保留",IFERROR(INDEX('判定表'!$E:$E,MATCH("W|"&amp;N190&amp;"|なし",'判定表'!$A:$A,0)),"判定表にない回答"))))</f>
        <v/>
      </c>
    </row>
    <row r="191">
      <c r="A191" s="17" t="n"/>
      <c r="B191" s="17" t="n"/>
      <c r="C191" s="17" t="n"/>
      <c r="D191" s="22">
        <f>IF(C191="","",IFERROR(INDEX('システム'!$B:$B,MATCH(C191,'システム'!$A:$A,0)),"システムが未登録"))</f>
        <v/>
      </c>
      <c r="E191" s="17" t="n"/>
      <c r="F191" s="17" t="n"/>
      <c r="G191" s="17" t="n"/>
      <c r="H191" s="43" t="n"/>
      <c r="I191" s="17" t="n"/>
      <c r="J191" s="17" t="n"/>
      <c r="K191" s="17" t="n"/>
      <c r="L191" s="17" t="n"/>
      <c r="M191" s="17" t="n"/>
      <c r="N191" s="17" t="n"/>
      <c r="O191" s="22">
        <f>IF(A191="","",IF(I191&lt;&gt;"済","判定保留",IF(OR(N191="",J191="",K191="",L191="",J191="未確認",K191="未確認"),"判定保留",IF(AND(J191="はい",L191="無"),"入力エラー（GxP対象でSOP無）",IFERROR(INDEX('判定表'!$D:$D,MATCH("W|"&amp;N191&amp;"|"&amp;IF(OR(J191="はい",K191="はい",L191="無"),"あり","なし"),'判定表'!$A:$A,0)),"判定表にない組み合わせ")))))</f>
        <v/>
      </c>
      <c r="P191" s="22">
        <f>IF(A191="","",IF(C191="","対象外",IF(COUNTIFS('システム'!$A$4:$A$200,C191,'システム'!$N$4:$N$200,"移管")&gt;0,"移管",IF(COUNTIFS('システム'!$A$4:$A$200,C191,'システム'!$N$4:$N$200,"留保")&gt;0,"留保","判定保留"))))</f>
        <v/>
      </c>
      <c r="Q191" s="22">
        <f>IF(A191="","",IF(P191&lt;&gt;"移管","—",IF(N191="","判定保留",IFERROR(INDEX('判定表'!$E:$E,MATCH("W|"&amp;N191&amp;"|なし",'判定表'!$A:$A,0)),"判定表にない回答"))))</f>
        <v/>
      </c>
    </row>
    <row r="192">
      <c r="A192" s="17" t="n"/>
      <c r="B192" s="17" t="n"/>
      <c r="C192" s="17" t="n"/>
      <c r="D192" s="22">
        <f>IF(C192="","",IFERROR(INDEX('システム'!$B:$B,MATCH(C192,'システム'!$A:$A,0)),"システムが未登録"))</f>
        <v/>
      </c>
      <c r="E192" s="17" t="n"/>
      <c r="F192" s="17" t="n"/>
      <c r="G192" s="17" t="n"/>
      <c r="H192" s="43" t="n"/>
      <c r="I192" s="17" t="n"/>
      <c r="J192" s="17" t="n"/>
      <c r="K192" s="17" t="n"/>
      <c r="L192" s="17" t="n"/>
      <c r="M192" s="17" t="n"/>
      <c r="N192" s="17" t="n"/>
      <c r="O192" s="22">
        <f>IF(A192="","",IF(I192&lt;&gt;"済","判定保留",IF(OR(N192="",J192="",K192="",L192="",J192="未確認",K192="未確認"),"判定保留",IF(AND(J192="はい",L192="無"),"入力エラー（GxP対象でSOP無）",IFERROR(INDEX('判定表'!$D:$D,MATCH("W|"&amp;N192&amp;"|"&amp;IF(OR(J192="はい",K192="はい",L192="無"),"あり","なし"),'判定表'!$A:$A,0)),"判定表にない組み合わせ")))))</f>
        <v/>
      </c>
      <c r="P192" s="22">
        <f>IF(A192="","",IF(C192="","対象外",IF(COUNTIFS('システム'!$A$4:$A$200,C192,'システム'!$N$4:$N$200,"移管")&gt;0,"移管",IF(COUNTIFS('システム'!$A$4:$A$200,C192,'システム'!$N$4:$N$200,"留保")&gt;0,"留保","判定保留"))))</f>
        <v/>
      </c>
      <c r="Q192" s="22">
        <f>IF(A192="","",IF(P192&lt;&gt;"移管","—",IF(N192="","判定保留",IFERROR(INDEX('判定表'!$E:$E,MATCH("W|"&amp;N192&amp;"|なし",'判定表'!$A:$A,0)),"判定表にない回答"))))</f>
        <v/>
      </c>
    </row>
    <row r="193">
      <c r="A193" s="17" t="n"/>
      <c r="B193" s="17" t="n"/>
      <c r="C193" s="17" t="n"/>
      <c r="D193" s="22">
        <f>IF(C193="","",IFERROR(INDEX('システム'!$B:$B,MATCH(C193,'システム'!$A:$A,0)),"システムが未登録"))</f>
        <v/>
      </c>
      <c r="E193" s="17" t="n"/>
      <c r="F193" s="17" t="n"/>
      <c r="G193" s="17" t="n"/>
      <c r="H193" s="43" t="n"/>
      <c r="I193" s="17" t="n"/>
      <c r="J193" s="17" t="n"/>
      <c r="K193" s="17" t="n"/>
      <c r="L193" s="17" t="n"/>
      <c r="M193" s="17" t="n"/>
      <c r="N193" s="17" t="n"/>
      <c r="O193" s="22">
        <f>IF(A193="","",IF(I193&lt;&gt;"済","判定保留",IF(OR(N193="",J193="",K193="",L193="",J193="未確認",K193="未確認"),"判定保留",IF(AND(J193="はい",L193="無"),"入力エラー（GxP対象でSOP無）",IFERROR(INDEX('判定表'!$D:$D,MATCH("W|"&amp;N193&amp;"|"&amp;IF(OR(J193="はい",K193="はい",L193="無"),"あり","なし"),'判定表'!$A:$A,0)),"判定表にない組み合わせ")))))</f>
        <v/>
      </c>
      <c r="P193" s="22">
        <f>IF(A193="","",IF(C193="","対象外",IF(COUNTIFS('システム'!$A$4:$A$200,C193,'システム'!$N$4:$N$200,"移管")&gt;0,"移管",IF(COUNTIFS('システム'!$A$4:$A$200,C193,'システム'!$N$4:$N$200,"留保")&gt;0,"留保","判定保留"))))</f>
        <v/>
      </c>
      <c r="Q193" s="22">
        <f>IF(A193="","",IF(P193&lt;&gt;"移管","—",IF(N193="","判定保留",IFERROR(INDEX('判定表'!$E:$E,MATCH("W|"&amp;N193&amp;"|なし",'判定表'!$A:$A,0)),"判定表にない回答"))))</f>
        <v/>
      </c>
    </row>
    <row r="194">
      <c r="A194" s="17" t="n"/>
      <c r="B194" s="17" t="n"/>
      <c r="C194" s="17" t="n"/>
      <c r="D194" s="22">
        <f>IF(C194="","",IFERROR(INDEX('システム'!$B:$B,MATCH(C194,'システム'!$A:$A,0)),"システムが未登録"))</f>
        <v/>
      </c>
      <c r="E194" s="17" t="n"/>
      <c r="F194" s="17" t="n"/>
      <c r="G194" s="17" t="n"/>
      <c r="H194" s="43" t="n"/>
      <c r="I194" s="17" t="n"/>
      <c r="J194" s="17" t="n"/>
      <c r="K194" s="17" t="n"/>
      <c r="L194" s="17" t="n"/>
      <c r="M194" s="17" t="n"/>
      <c r="N194" s="17" t="n"/>
      <c r="O194" s="22">
        <f>IF(A194="","",IF(I194&lt;&gt;"済","判定保留",IF(OR(N194="",J194="",K194="",L194="",J194="未確認",K194="未確認"),"判定保留",IF(AND(J194="はい",L194="無"),"入力エラー（GxP対象でSOP無）",IFERROR(INDEX('判定表'!$D:$D,MATCH("W|"&amp;N194&amp;"|"&amp;IF(OR(J194="はい",K194="はい",L194="無"),"あり","なし"),'判定表'!$A:$A,0)),"判定表にない組み合わせ")))))</f>
        <v/>
      </c>
      <c r="P194" s="22">
        <f>IF(A194="","",IF(C194="","対象外",IF(COUNTIFS('システム'!$A$4:$A$200,C194,'システム'!$N$4:$N$200,"移管")&gt;0,"移管",IF(COUNTIFS('システム'!$A$4:$A$200,C194,'システム'!$N$4:$N$200,"留保")&gt;0,"留保","判定保留"))))</f>
        <v/>
      </c>
      <c r="Q194" s="22">
        <f>IF(A194="","",IF(P194&lt;&gt;"移管","—",IF(N194="","判定保留",IFERROR(INDEX('判定表'!$E:$E,MATCH("W|"&amp;N194&amp;"|なし",'判定表'!$A:$A,0)),"判定表にない回答"))))</f>
        <v/>
      </c>
    </row>
    <row r="195">
      <c r="A195" s="17" t="n"/>
      <c r="B195" s="17" t="n"/>
      <c r="C195" s="17" t="n"/>
      <c r="D195" s="22">
        <f>IF(C195="","",IFERROR(INDEX('システム'!$B:$B,MATCH(C195,'システム'!$A:$A,0)),"システムが未登録"))</f>
        <v/>
      </c>
      <c r="E195" s="17" t="n"/>
      <c r="F195" s="17" t="n"/>
      <c r="G195" s="17" t="n"/>
      <c r="H195" s="43" t="n"/>
      <c r="I195" s="17" t="n"/>
      <c r="J195" s="17" t="n"/>
      <c r="K195" s="17" t="n"/>
      <c r="L195" s="17" t="n"/>
      <c r="M195" s="17" t="n"/>
      <c r="N195" s="17" t="n"/>
      <c r="O195" s="22">
        <f>IF(A195="","",IF(I195&lt;&gt;"済","判定保留",IF(OR(N195="",J195="",K195="",L195="",J195="未確認",K195="未確認"),"判定保留",IF(AND(J195="はい",L195="無"),"入力エラー（GxP対象でSOP無）",IFERROR(INDEX('判定表'!$D:$D,MATCH("W|"&amp;N195&amp;"|"&amp;IF(OR(J195="はい",K195="はい",L195="無"),"あり","なし"),'判定表'!$A:$A,0)),"判定表にない組み合わせ")))))</f>
        <v/>
      </c>
      <c r="P195" s="22">
        <f>IF(A195="","",IF(C195="","対象外",IF(COUNTIFS('システム'!$A$4:$A$200,C195,'システム'!$N$4:$N$200,"移管")&gt;0,"移管",IF(COUNTIFS('システム'!$A$4:$A$200,C195,'システム'!$N$4:$N$200,"留保")&gt;0,"留保","判定保留"))))</f>
        <v/>
      </c>
      <c r="Q195" s="22">
        <f>IF(A195="","",IF(P195&lt;&gt;"移管","—",IF(N195="","判定保留",IFERROR(INDEX('判定表'!$E:$E,MATCH("W|"&amp;N195&amp;"|なし",'判定表'!$A:$A,0)),"判定表にない回答"))))</f>
        <v/>
      </c>
    </row>
    <row r="196">
      <c r="A196" s="17" t="n"/>
      <c r="B196" s="17" t="n"/>
      <c r="C196" s="17" t="n"/>
      <c r="D196" s="22">
        <f>IF(C196="","",IFERROR(INDEX('システム'!$B:$B,MATCH(C196,'システム'!$A:$A,0)),"システムが未登録"))</f>
        <v/>
      </c>
      <c r="E196" s="17" t="n"/>
      <c r="F196" s="17" t="n"/>
      <c r="G196" s="17" t="n"/>
      <c r="H196" s="43" t="n"/>
      <c r="I196" s="17" t="n"/>
      <c r="J196" s="17" t="n"/>
      <c r="K196" s="17" t="n"/>
      <c r="L196" s="17" t="n"/>
      <c r="M196" s="17" t="n"/>
      <c r="N196" s="17" t="n"/>
      <c r="O196" s="22">
        <f>IF(A196="","",IF(I196&lt;&gt;"済","判定保留",IF(OR(N196="",J196="",K196="",L196="",J196="未確認",K196="未確認"),"判定保留",IF(AND(J196="はい",L196="無"),"入力エラー（GxP対象でSOP無）",IFERROR(INDEX('判定表'!$D:$D,MATCH("W|"&amp;N196&amp;"|"&amp;IF(OR(J196="はい",K196="はい",L196="無"),"あり","なし"),'判定表'!$A:$A,0)),"判定表にない組み合わせ")))))</f>
        <v/>
      </c>
      <c r="P196" s="22">
        <f>IF(A196="","",IF(C196="","対象外",IF(COUNTIFS('システム'!$A$4:$A$200,C196,'システム'!$N$4:$N$200,"移管")&gt;0,"移管",IF(COUNTIFS('システム'!$A$4:$A$200,C196,'システム'!$N$4:$N$200,"留保")&gt;0,"留保","判定保留"))))</f>
        <v/>
      </c>
      <c r="Q196" s="22">
        <f>IF(A196="","",IF(P196&lt;&gt;"移管","—",IF(N196="","判定保留",IFERROR(INDEX('判定表'!$E:$E,MATCH("W|"&amp;N196&amp;"|なし",'判定表'!$A:$A,0)),"判定表にない回答"))))</f>
        <v/>
      </c>
    </row>
    <row r="197">
      <c r="A197" s="17" t="n"/>
      <c r="B197" s="17" t="n"/>
      <c r="C197" s="17" t="n"/>
      <c r="D197" s="22">
        <f>IF(C197="","",IFERROR(INDEX('システム'!$B:$B,MATCH(C197,'システム'!$A:$A,0)),"システムが未登録"))</f>
        <v/>
      </c>
      <c r="E197" s="17" t="n"/>
      <c r="F197" s="17" t="n"/>
      <c r="G197" s="17" t="n"/>
      <c r="H197" s="43" t="n"/>
      <c r="I197" s="17" t="n"/>
      <c r="J197" s="17" t="n"/>
      <c r="K197" s="17" t="n"/>
      <c r="L197" s="17" t="n"/>
      <c r="M197" s="17" t="n"/>
      <c r="N197" s="17" t="n"/>
      <c r="O197" s="22">
        <f>IF(A197="","",IF(I197&lt;&gt;"済","判定保留",IF(OR(N197="",J197="",K197="",L197="",J197="未確認",K197="未確認"),"判定保留",IF(AND(J197="はい",L197="無"),"入力エラー（GxP対象でSOP無）",IFERROR(INDEX('判定表'!$D:$D,MATCH("W|"&amp;N197&amp;"|"&amp;IF(OR(J197="はい",K197="はい",L197="無"),"あり","なし"),'判定表'!$A:$A,0)),"判定表にない組み合わせ")))))</f>
        <v/>
      </c>
      <c r="P197" s="22">
        <f>IF(A197="","",IF(C197="","対象外",IF(COUNTIFS('システム'!$A$4:$A$200,C197,'システム'!$N$4:$N$200,"移管")&gt;0,"移管",IF(COUNTIFS('システム'!$A$4:$A$200,C197,'システム'!$N$4:$N$200,"留保")&gt;0,"留保","判定保留"))))</f>
        <v/>
      </c>
      <c r="Q197" s="22">
        <f>IF(A197="","",IF(P197&lt;&gt;"移管","—",IF(N197="","判定保留",IFERROR(INDEX('判定表'!$E:$E,MATCH("W|"&amp;N197&amp;"|なし",'判定表'!$A:$A,0)),"判定表にない回答"))))</f>
        <v/>
      </c>
    </row>
    <row r="198">
      <c r="A198" s="17" t="n"/>
      <c r="B198" s="17" t="n"/>
      <c r="C198" s="17" t="n"/>
      <c r="D198" s="22">
        <f>IF(C198="","",IFERROR(INDEX('システム'!$B:$B,MATCH(C198,'システム'!$A:$A,0)),"システムが未登録"))</f>
        <v/>
      </c>
      <c r="E198" s="17" t="n"/>
      <c r="F198" s="17" t="n"/>
      <c r="G198" s="17" t="n"/>
      <c r="H198" s="43" t="n"/>
      <c r="I198" s="17" t="n"/>
      <c r="J198" s="17" t="n"/>
      <c r="K198" s="17" t="n"/>
      <c r="L198" s="17" t="n"/>
      <c r="M198" s="17" t="n"/>
      <c r="N198" s="17" t="n"/>
      <c r="O198" s="22">
        <f>IF(A198="","",IF(I198&lt;&gt;"済","判定保留",IF(OR(N198="",J198="",K198="",L198="",J198="未確認",K198="未確認"),"判定保留",IF(AND(J198="はい",L198="無"),"入力エラー（GxP対象でSOP無）",IFERROR(INDEX('判定表'!$D:$D,MATCH("W|"&amp;N198&amp;"|"&amp;IF(OR(J198="はい",K198="はい",L198="無"),"あり","なし"),'判定表'!$A:$A,0)),"判定表にない組み合わせ")))))</f>
        <v/>
      </c>
      <c r="P198" s="22">
        <f>IF(A198="","",IF(C198="","対象外",IF(COUNTIFS('システム'!$A$4:$A$200,C198,'システム'!$N$4:$N$200,"移管")&gt;0,"移管",IF(COUNTIFS('システム'!$A$4:$A$200,C198,'システム'!$N$4:$N$200,"留保")&gt;0,"留保","判定保留"))))</f>
        <v/>
      </c>
      <c r="Q198" s="22">
        <f>IF(A198="","",IF(P198&lt;&gt;"移管","—",IF(N198="","判定保留",IFERROR(INDEX('判定表'!$E:$E,MATCH("W|"&amp;N198&amp;"|なし",'判定表'!$A:$A,0)),"判定表にない回答"))))</f>
        <v/>
      </c>
    </row>
    <row r="199">
      <c r="A199" s="17" t="n"/>
      <c r="B199" s="17" t="n"/>
      <c r="C199" s="17" t="n"/>
      <c r="D199" s="22">
        <f>IF(C199="","",IFERROR(INDEX('システム'!$B:$B,MATCH(C199,'システム'!$A:$A,0)),"システムが未登録"))</f>
        <v/>
      </c>
      <c r="E199" s="17" t="n"/>
      <c r="F199" s="17" t="n"/>
      <c r="G199" s="17" t="n"/>
      <c r="H199" s="43" t="n"/>
      <c r="I199" s="17" t="n"/>
      <c r="J199" s="17" t="n"/>
      <c r="K199" s="17" t="n"/>
      <c r="L199" s="17" t="n"/>
      <c r="M199" s="17" t="n"/>
      <c r="N199" s="17" t="n"/>
      <c r="O199" s="22">
        <f>IF(A199="","",IF(I199&lt;&gt;"済","判定保留",IF(OR(N199="",J199="",K199="",L199="",J199="未確認",K199="未確認"),"判定保留",IF(AND(J199="はい",L199="無"),"入力エラー（GxP対象でSOP無）",IFERROR(INDEX('判定表'!$D:$D,MATCH("W|"&amp;N199&amp;"|"&amp;IF(OR(J199="はい",K199="はい",L199="無"),"あり","なし"),'判定表'!$A:$A,0)),"判定表にない組み合わせ")))))</f>
        <v/>
      </c>
      <c r="P199" s="22">
        <f>IF(A199="","",IF(C199="","対象外",IF(COUNTIFS('システム'!$A$4:$A$200,C199,'システム'!$N$4:$N$200,"移管")&gt;0,"移管",IF(COUNTIFS('システム'!$A$4:$A$200,C199,'システム'!$N$4:$N$200,"留保")&gt;0,"留保","判定保留"))))</f>
        <v/>
      </c>
      <c r="Q199" s="22">
        <f>IF(A199="","",IF(P199&lt;&gt;"移管","—",IF(N199="","判定保留",IFERROR(INDEX('判定表'!$E:$E,MATCH("W|"&amp;N199&amp;"|なし",'判定表'!$A:$A,0)),"判定表にない回答"))))</f>
        <v/>
      </c>
    </row>
    <row r="200">
      <c r="A200" s="17" t="n"/>
      <c r="B200" s="17" t="n"/>
      <c r="C200" s="17" t="n"/>
      <c r="D200" s="22">
        <f>IF(C200="","",IFERROR(INDEX('システム'!$B:$B,MATCH(C200,'システム'!$A:$A,0)),"システムが未登録"))</f>
        <v/>
      </c>
      <c r="E200" s="17" t="n"/>
      <c r="F200" s="17" t="n"/>
      <c r="G200" s="17" t="n"/>
      <c r="H200" s="43" t="n"/>
      <c r="I200" s="17" t="n"/>
      <c r="J200" s="17" t="n"/>
      <c r="K200" s="17" t="n"/>
      <c r="L200" s="17" t="n"/>
      <c r="M200" s="17" t="n"/>
      <c r="N200" s="17" t="n"/>
      <c r="O200" s="22">
        <f>IF(A200="","",IF(I200&lt;&gt;"済","判定保留",IF(OR(N200="",J200="",K200="",L200="",J200="未確認",K200="未確認"),"判定保留",IF(AND(J200="はい",L200="無"),"入力エラー（GxP対象でSOP無）",IFERROR(INDEX('判定表'!$D:$D,MATCH("W|"&amp;N200&amp;"|"&amp;IF(OR(J200="はい",K200="はい",L200="無"),"あり","なし"),'判定表'!$A:$A,0)),"判定表にない組み合わせ")))))</f>
        <v/>
      </c>
      <c r="P200" s="22">
        <f>IF(A200="","",IF(C200="","対象外",IF(COUNTIFS('システム'!$A$4:$A$200,C200,'システム'!$N$4:$N$200,"移管")&gt;0,"移管",IF(COUNTIFS('システム'!$A$4:$A$200,C200,'システム'!$N$4:$N$200,"留保")&gt;0,"留保","判定保留"))))</f>
        <v/>
      </c>
      <c r="Q200" s="22">
        <f>IF(A200="","",IF(P200&lt;&gt;"移管","—",IF(N200="","判定保留",IFERROR(INDEX('判定表'!$E:$E,MATCH("W|"&amp;N200&amp;"|なし",'判定表'!$A:$A,0)),"判定表にない回答"))))</f>
        <v/>
      </c>
    </row>
  </sheetData>
  <dataValidations count="9">
    <dataValidation sqref="C4:C200" showDropDown="0" showInputMessage="0" showErrorMessage="0" allowBlank="1" type="list">
      <formula1>'システム'!$A$4:$A$200</formula1>
    </dataValidation>
    <dataValidation sqref="E4:E200" showDropDown="0" showInputMessage="0" showErrorMessage="0" allowBlank="1" type="list">
      <formula1>'選択肢'!$K$5:$K$20</formula1>
    </dataValidation>
    <dataValidation sqref="F4:F200" showDropDown="0" showInputMessage="0" showErrorMessage="0" allowBlank="1" type="list">
      <formula1>'選択肢'!$M$5:$M$15</formula1>
    </dataValidation>
    <dataValidation sqref="G4:G200" showDropDown="0" showInputMessage="0" showErrorMessage="0" allowBlank="1" type="list">
      <formula1>'選択肢'!$O$5:$O$16</formula1>
    </dataValidation>
    <dataValidation sqref="I4:I200" showDropDown="0" showInputMessage="0" showErrorMessage="0" allowBlank="1" type="list">
      <formula1>'選択肢'!$Q$5:$Q$12</formula1>
    </dataValidation>
    <dataValidation sqref="J4:K200" showDropDown="0" showInputMessage="0" showErrorMessage="0" allowBlank="1" type="list">
      <formula1>'選択肢'!$E$5:$E$13</formula1>
    </dataValidation>
    <dataValidation sqref="L4:L200" showDropDown="0" showInputMessage="0" showErrorMessage="0" allowBlank="1" type="list">
      <formula1>'選択肢'!$G$5:$G$12</formula1>
    </dataValidation>
    <dataValidation sqref="M4:M200" showDropDown="0" showInputMessage="0" showErrorMessage="0" allowBlank="1" type="list">
      <formula1>'契約'!$A$4:$A$200</formula1>
    </dataValidation>
    <dataValidation sqref="N4:N200" showDropDown="0" showInputMessage="0" showErrorMessage="0" allowBlank="1" type="list">
      <formula1>'選択肢'!$AC$5:$AC$10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18" customWidth="1" min="6" max="6"/>
    <col width="16" customWidth="1" min="7" max="7"/>
    <col width="13" customWidth="1" min="8" max="8"/>
    <col width="13" customWidth="1" min="9" max="9"/>
    <col width="11" customWidth="1" min="10" max="10"/>
    <col width="11" customWidth="1" min="11" max="11"/>
    <col width="15" customWidth="1" min="12" max="12"/>
    <col width="14" customWidth="1" min="13" max="13"/>
    <col width="12" customWidth="1" min="14" max="14"/>
    <col width="14" customWidth="1" min="15" max="15"/>
  </cols>
  <sheetData>
    <row r="1">
      <c r="A1" s="1" t="inlineStr">
        <is>
          <t>契約（移管の対象と時期）</t>
        </is>
      </c>
    </row>
    <row r="2">
      <c r="A2" s="4" t="inlineStr">
        <is>
          <t>1行＝1契約。案件IDは予算シートの案件IDを選ぶ。契約の移管は紐づく業務（業務シートの関連契約ID）で決まる。紐づく業務がない契約（書籍の購読など、システムと関係ないもの）は対象外。灰色の列は数式。薄い色の3行は記入例。</t>
        </is>
      </c>
    </row>
    <row r="3" ht="34" customHeight="1">
      <c r="A3" s="10" t="inlineStr">
        <is>
          <t>契約ID</t>
        </is>
      </c>
      <c r="B3" s="10" t="inlineStr">
        <is>
          <t>契約名</t>
        </is>
      </c>
      <c r="C3" s="10" t="inlineStr">
        <is>
          <t>案件ID</t>
        </is>
      </c>
      <c r="D3" s="10" t="inlineStr">
        <is>
          <t>案件名（自動）</t>
        </is>
      </c>
      <c r="E3" s="10" t="inlineStr">
        <is>
          <t>相手先</t>
        </is>
      </c>
      <c r="F3" s="10" t="inlineStr">
        <is>
          <t>契約種別</t>
        </is>
      </c>
      <c r="G3" s="10" t="inlineStr">
        <is>
          <t>契約名義（部門）</t>
        </is>
      </c>
      <c r="H3" s="10" t="inlineStr">
        <is>
          <t>契約開始日</t>
        </is>
      </c>
      <c r="I3" s="10" t="inlineStr">
        <is>
          <t>契約満了日</t>
        </is>
      </c>
      <c r="J3" s="10" t="inlineStr">
        <is>
          <t>自動更新</t>
        </is>
      </c>
      <c r="K3" s="10" t="inlineStr">
        <is>
          <t>解約予告（か月）</t>
        </is>
      </c>
      <c r="L3" s="10" t="inlineStr">
        <is>
          <t>通知期限（自動）</t>
        </is>
      </c>
      <c r="M3" s="10" t="inlineStr">
        <is>
          <t>年間契約金額</t>
        </is>
      </c>
      <c r="N3" s="10" t="inlineStr">
        <is>
          <t>紐づく業務数（自動）</t>
        </is>
      </c>
      <c r="O3" s="10" t="inlineStr">
        <is>
          <t>契約移管判定（自動）</t>
        </is>
      </c>
    </row>
    <row r="4">
      <c r="A4" s="11" t="inlineStr">
        <is>
          <t>CT-2201</t>
        </is>
      </c>
      <c r="B4" s="11" t="inlineStr">
        <is>
          <t>クラウド利用・運用委託契約</t>
        </is>
      </c>
      <c r="C4" s="11" t="inlineStr">
        <is>
          <t>BUD-001</t>
        </is>
      </c>
      <c r="D4" s="40">
        <f>IF(C4="","",IFERROR(INDEX('予算シート'!$B:$B,MATCH(C4,'予算シート'!$A:$A,0)),"案件が未登録"))</f>
        <v/>
      </c>
      <c r="E4" s="11" t="inlineStr">
        <is>
          <t>A社</t>
        </is>
      </c>
      <c r="F4" s="11" t="inlineStr">
        <is>
          <t>準委任</t>
        </is>
      </c>
      <c r="G4" s="11" t="inlineStr">
        <is>
          <t>研究本部</t>
        </is>
      </c>
      <c r="H4" s="28" t="n">
        <v>45748</v>
      </c>
      <c r="I4" s="28" t="n">
        <v>46477</v>
      </c>
      <c r="J4" s="11" t="inlineStr">
        <is>
          <t>有</t>
        </is>
      </c>
      <c r="K4" s="14" t="n">
        <v>3</v>
      </c>
      <c r="L4" s="40">
        <f>IF(OR(I4="",K4=""),"",EDATE(I4,-K4))</f>
        <v/>
      </c>
      <c r="M4" s="12" t="n">
        <v>15000000</v>
      </c>
      <c r="N4" s="44">
        <f>IF(A4="","",COUNTIF('業務'!$M$4:$M$200,A4))</f>
        <v/>
      </c>
      <c r="O4" s="40">
        <f>IF(A4="","",IF(N4=0,"対象外",IF(COUNTIFS('業務'!$M$4:$M$200,A4,'業務'!$P$4:$P$200,"移管")=N4,"移管",IF(COUNTIFS('業務'!$M$4:$M$200,A4,'業務'!$P$4:$P$200,"移管")&gt;0,"一部",IF(COUNTIFS('業務'!$M$4:$M$200,A4,'業務'!$P$4:$P$200,"対象外")+COUNTIFS('業務'!$M$4:$M$200,A4,'業務'!$P$4:$P$200,"留保")=N4,IF(COUNTIFS('業務'!$M$4:$M$200,A4,'業務'!$P$4:$P$200,"留保")&gt;0,"留保","対象外"),"判定保留")))))</f>
        <v/>
      </c>
    </row>
    <row r="5">
      <c r="A5" s="11" t="inlineStr">
        <is>
          <t>CT-1187</t>
        </is>
      </c>
      <c r="B5" s="11" t="inlineStr">
        <is>
          <t>eDMS保守契約</t>
        </is>
      </c>
      <c r="C5" s="11" t="inlineStr">
        <is>
          <t>BUD-002</t>
        </is>
      </c>
      <c r="D5" s="40">
        <f>IF(C5="","",IFERROR(INDEX('予算シート'!$B:$B,MATCH(C5,'予算シート'!$A:$A,0)),"案件が未登録"))</f>
        <v/>
      </c>
      <c r="E5" s="11" t="inlineStr">
        <is>
          <t>B社</t>
        </is>
      </c>
      <c r="F5" s="11" t="inlineStr">
        <is>
          <t>保守</t>
        </is>
      </c>
      <c r="G5" s="11" t="inlineStr">
        <is>
          <t>品質保証部</t>
        </is>
      </c>
      <c r="H5" s="28" t="n">
        <v>45383</v>
      </c>
      <c r="I5" s="28" t="n">
        <v>46843</v>
      </c>
      <c r="J5" s="11" t="inlineStr">
        <is>
          <t>有</t>
        </is>
      </c>
      <c r="K5" s="14" t="n">
        <v>6</v>
      </c>
      <c r="L5" s="40">
        <f>IF(OR(I5="",K5=""),"",EDATE(I5,-K5))</f>
        <v/>
      </c>
      <c r="M5" s="12" t="n">
        <v>80000000</v>
      </c>
      <c r="N5" s="44">
        <f>IF(A5="","",COUNTIF('業務'!$M$4:$M$200,A5))</f>
        <v/>
      </c>
      <c r="O5" s="40">
        <f>IF(A5="","",IF(N5=0,"対象外",IF(COUNTIFS('業務'!$M$4:$M$200,A5,'業務'!$P$4:$P$200,"移管")=N5,"移管",IF(COUNTIFS('業務'!$M$4:$M$200,A5,'業務'!$P$4:$P$200,"移管")&gt;0,"一部",IF(COUNTIFS('業務'!$M$4:$M$200,A5,'業務'!$P$4:$P$200,"対象外")+COUNTIFS('業務'!$M$4:$M$200,A5,'業務'!$P$4:$P$200,"留保")=N5,IF(COUNTIFS('業務'!$M$4:$M$200,A5,'業務'!$P$4:$P$200,"留保")&gt;0,"留保","対象外"),"判定保留")))))</f>
        <v/>
      </c>
    </row>
    <row r="6">
      <c r="A6" s="11" t="inlineStr">
        <is>
          <t>CT-2310</t>
        </is>
      </c>
      <c r="B6" s="11" t="inlineStr">
        <is>
          <t>集計ツール改修（請負）</t>
        </is>
      </c>
      <c r="C6" s="11" t="inlineStr">
        <is>
          <t>BUD-003</t>
        </is>
      </c>
      <c r="D6" s="40">
        <f>IF(C6="","",IFERROR(INDEX('予算シート'!$B:$B,MATCH(C6,'予算シート'!$A:$A,0)),"案件が未登録"))</f>
        <v/>
      </c>
      <c r="E6" s="11" t="inlineStr">
        <is>
          <t>C社</t>
        </is>
      </c>
      <c r="F6" s="11" t="inlineStr">
        <is>
          <t>請負</t>
        </is>
      </c>
      <c r="G6" s="11" t="inlineStr">
        <is>
          <t>研究本部</t>
        </is>
      </c>
      <c r="H6" s="28" t="n">
        <v>46296</v>
      </c>
      <c r="I6" s="28" t="n">
        <v>46660</v>
      </c>
      <c r="J6" s="11" t="inlineStr">
        <is>
          <t>無</t>
        </is>
      </c>
      <c r="K6" s="14" t="n">
        <v>0</v>
      </c>
      <c r="L6" s="40">
        <f>IF(OR(I6="",K6=""),"",EDATE(I6,-K6))</f>
        <v/>
      </c>
      <c r="M6" s="12" t="n">
        <v>6000000</v>
      </c>
      <c r="N6" s="44">
        <f>IF(A6="","",COUNTIF('業務'!$M$4:$M$200,A6))</f>
        <v/>
      </c>
      <c r="O6" s="40">
        <f>IF(A6="","",IF(N6=0,"対象外",IF(COUNTIFS('業務'!$M$4:$M$200,A6,'業務'!$P$4:$P$200,"移管")=N6,"移管",IF(COUNTIFS('業務'!$M$4:$M$200,A6,'業務'!$P$4:$P$200,"移管")&gt;0,"一部",IF(COUNTIFS('業務'!$M$4:$M$200,A6,'業務'!$P$4:$P$200,"対象外")+COUNTIFS('業務'!$M$4:$M$200,A6,'業務'!$P$4:$P$200,"留保")=N6,IF(COUNTIFS('業務'!$M$4:$M$200,A6,'業務'!$P$4:$P$200,"留保")&gt;0,"留保","対象外"),"判定保留")))))</f>
        <v/>
      </c>
    </row>
    <row r="7">
      <c r="A7" s="17" t="n"/>
      <c r="B7" s="17" t="n"/>
      <c r="C7" s="17" t="n"/>
      <c r="D7" s="41">
        <f>IF(C7="","",IFERROR(INDEX('予算シート'!$B:$B,MATCH(C7,'予算シート'!$A:$A,0)),"案件が未登録"))</f>
        <v/>
      </c>
      <c r="E7" s="17" t="n"/>
      <c r="F7" s="17" t="n"/>
      <c r="G7" s="17" t="n"/>
      <c r="H7" s="29" t="n"/>
      <c r="I7" s="29" t="n"/>
      <c r="J7" s="17" t="n"/>
      <c r="K7" s="20" t="n"/>
      <c r="L7" s="41">
        <f>IF(OR(I7="",K7=""),"",EDATE(I7,-K7))</f>
        <v/>
      </c>
      <c r="M7" s="18" t="n"/>
      <c r="N7" s="45">
        <f>IF(A7="","",COUNTIF('業務'!$M$4:$M$200,A7))</f>
        <v/>
      </c>
      <c r="O7" s="41">
        <f>IF(A7="","",IF(N7=0,"対象外",IF(COUNTIFS('業務'!$M$4:$M$200,A7,'業務'!$P$4:$P$200,"移管")=N7,"移管",IF(COUNTIFS('業務'!$M$4:$M$200,A7,'業務'!$P$4:$P$200,"移管")&gt;0,"一部",IF(COUNTIFS('業務'!$M$4:$M$200,A7,'業務'!$P$4:$P$200,"対象外")+COUNTIFS('業務'!$M$4:$M$200,A7,'業務'!$P$4:$P$200,"留保")=N7,IF(COUNTIFS('業務'!$M$4:$M$200,A7,'業務'!$P$4:$P$200,"留保")&gt;0,"留保","対象外"),"判定保留")))))</f>
        <v/>
      </c>
    </row>
    <row r="8">
      <c r="A8" s="17" t="n"/>
      <c r="B8" s="17" t="n"/>
      <c r="C8" s="17" t="n"/>
      <c r="D8" s="41">
        <f>IF(C8="","",IFERROR(INDEX('予算シート'!$B:$B,MATCH(C8,'予算シート'!$A:$A,0)),"案件が未登録"))</f>
        <v/>
      </c>
      <c r="E8" s="17" t="n"/>
      <c r="F8" s="17" t="n"/>
      <c r="G8" s="17" t="n"/>
      <c r="H8" s="29" t="n"/>
      <c r="I8" s="29" t="n"/>
      <c r="J8" s="17" t="n"/>
      <c r="K8" s="20" t="n"/>
      <c r="L8" s="41">
        <f>IF(OR(I8="",K8=""),"",EDATE(I8,-K8))</f>
        <v/>
      </c>
      <c r="M8" s="18" t="n"/>
      <c r="N8" s="45">
        <f>IF(A8="","",COUNTIF('業務'!$M$4:$M$200,A8))</f>
        <v/>
      </c>
      <c r="O8" s="41">
        <f>IF(A8="","",IF(N8=0,"対象外",IF(COUNTIFS('業務'!$M$4:$M$200,A8,'業務'!$P$4:$P$200,"移管")=N8,"移管",IF(COUNTIFS('業務'!$M$4:$M$200,A8,'業務'!$P$4:$P$200,"移管")&gt;0,"一部",IF(COUNTIFS('業務'!$M$4:$M$200,A8,'業務'!$P$4:$P$200,"対象外")+COUNTIFS('業務'!$M$4:$M$200,A8,'業務'!$P$4:$P$200,"留保")=N8,IF(COUNTIFS('業務'!$M$4:$M$200,A8,'業務'!$P$4:$P$200,"留保")&gt;0,"留保","対象外"),"判定保留")))))</f>
        <v/>
      </c>
    </row>
    <row r="9">
      <c r="A9" s="17" t="n"/>
      <c r="B9" s="17" t="n"/>
      <c r="C9" s="17" t="n"/>
      <c r="D9" s="41">
        <f>IF(C9="","",IFERROR(INDEX('予算シート'!$B:$B,MATCH(C9,'予算シート'!$A:$A,0)),"案件が未登録"))</f>
        <v/>
      </c>
      <c r="E9" s="17" t="n"/>
      <c r="F9" s="17" t="n"/>
      <c r="G9" s="17" t="n"/>
      <c r="H9" s="29" t="n"/>
      <c r="I9" s="29" t="n"/>
      <c r="J9" s="17" t="n"/>
      <c r="K9" s="20" t="n"/>
      <c r="L9" s="41">
        <f>IF(OR(I9="",K9=""),"",EDATE(I9,-K9))</f>
        <v/>
      </c>
      <c r="M9" s="18" t="n"/>
      <c r="N9" s="45">
        <f>IF(A9="","",COUNTIF('業務'!$M$4:$M$200,A9))</f>
        <v/>
      </c>
      <c r="O9" s="41">
        <f>IF(A9="","",IF(N9=0,"対象外",IF(COUNTIFS('業務'!$M$4:$M$200,A9,'業務'!$P$4:$P$200,"移管")=N9,"移管",IF(COUNTIFS('業務'!$M$4:$M$200,A9,'業務'!$P$4:$P$200,"移管")&gt;0,"一部",IF(COUNTIFS('業務'!$M$4:$M$200,A9,'業務'!$P$4:$P$200,"対象外")+COUNTIFS('業務'!$M$4:$M$200,A9,'業務'!$P$4:$P$200,"留保")=N9,IF(COUNTIFS('業務'!$M$4:$M$200,A9,'業務'!$P$4:$P$200,"留保")&gt;0,"留保","対象外"),"判定保留")))))</f>
        <v/>
      </c>
    </row>
    <row r="10">
      <c r="A10" s="17" t="n"/>
      <c r="B10" s="17" t="n"/>
      <c r="C10" s="17" t="n"/>
      <c r="D10" s="41">
        <f>IF(C10="","",IFERROR(INDEX('予算シート'!$B:$B,MATCH(C10,'予算シート'!$A:$A,0)),"案件が未登録"))</f>
        <v/>
      </c>
      <c r="E10" s="17" t="n"/>
      <c r="F10" s="17" t="n"/>
      <c r="G10" s="17" t="n"/>
      <c r="H10" s="29" t="n"/>
      <c r="I10" s="29" t="n"/>
      <c r="J10" s="17" t="n"/>
      <c r="K10" s="20" t="n"/>
      <c r="L10" s="41">
        <f>IF(OR(I10="",K10=""),"",EDATE(I10,-K10))</f>
        <v/>
      </c>
      <c r="M10" s="18" t="n"/>
      <c r="N10" s="45">
        <f>IF(A10="","",COUNTIF('業務'!$M$4:$M$200,A10))</f>
        <v/>
      </c>
      <c r="O10" s="41">
        <f>IF(A10="","",IF(N10=0,"対象外",IF(COUNTIFS('業務'!$M$4:$M$200,A10,'業務'!$P$4:$P$200,"移管")=N10,"移管",IF(COUNTIFS('業務'!$M$4:$M$200,A10,'業務'!$P$4:$P$200,"移管")&gt;0,"一部",IF(COUNTIFS('業務'!$M$4:$M$200,A10,'業務'!$P$4:$P$200,"対象外")+COUNTIFS('業務'!$M$4:$M$200,A10,'業務'!$P$4:$P$200,"留保")=N10,IF(COUNTIFS('業務'!$M$4:$M$200,A10,'業務'!$P$4:$P$200,"留保")&gt;0,"留保","対象外"),"判定保留")))))</f>
        <v/>
      </c>
    </row>
    <row r="11">
      <c r="A11" s="17" t="n"/>
      <c r="B11" s="17" t="n"/>
      <c r="C11" s="17" t="n"/>
      <c r="D11" s="41">
        <f>IF(C11="","",IFERROR(INDEX('予算シート'!$B:$B,MATCH(C11,'予算シート'!$A:$A,0)),"案件が未登録"))</f>
        <v/>
      </c>
      <c r="E11" s="17" t="n"/>
      <c r="F11" s="17" t="n"/>
      <c r="G11" s="17" t="n"/>
      <c r="H11" s="29" t="n"/>
      <c r="I11" s="29" t="n"/>
      <c r="J11" s="17" t="n"/>
      <c r="K11" s="20" t="n"/>
      <c r="L11" s="41">
        <f>IF(OR(I11="",K11=""),"",EDATE(I11,-K11))</f>
        <v/>
      </c>
      <c r="M11" s="18" t="n"/>
      <c r="N11" s="45">
        <f>IF(A11="","",COUNTIF('業務'!$M$4:$M$200,A11))</f>
        <v/>
      </c>
      <c r="O11" s="41">
        <f>IF(A11="","",IF(N11=0,"対象外",IF(COUNTIFS('業務'!$M$4:$M$200,A11,'業務'!$P$4:$P$200,"移管")=N11,"移管",IF(COUNTIFS('業務'!$M$4:$M$200,A11,'業務'!$P$4:$P$200,"移管")&gt;0,"一部",IF(COUNTIFS('業務'!$M$4:$M$200,A11,'業務'!$P$4:$P$200,"対象外")+COUNTIFS('業務'!$M$4:$M$200,A11,'業務'!$P$4:$P$200,"留保")=N11,IF(COUNTIFS('業務'!$M$4:$M$200,A11,'業務'!$P$4:$P$200,"留保")&gt;0,"留保","対象外"),"判定保留")))))</f>
        <v/>
      </c>
    </row>
    <row r="12">
      <c r="A12" s="17" t="n"/>
      <c r="B12" s="17" t="n"/>
      <c r="C12" s="17" t="n"/>
      <c r="D12" s="41">
        <f>IF(C12="","",IFERROR(INDEX('予算シート'!$B:$B,MATCH(C12,'予算シート'!$A:$A,0)),"案件が未登録"))</f>
        <v/>
      </c>
      <c r="E12" s="17" t="n"/>
      <c r="F12" s="17" t="n"/>
      <c r="G12" s="17" t="n"/>
      <c r="H12" s="29" t="n"/>
      <c r="I12" s="29" t="n"/>
      <c r="J12" s="17" t="n"/>
      <c r="K12" s="20" t="n"/>
      <c r="L12" s="41">
        <f>IF(OR(I12="",K12=""),"",EDATE(I12,-K12))</f>
        <v/>
      </c>
      <c r="M12" s="18" t="n"/>
      <c r="N12" s="45">
        <f>IF(A12="","",COUNTIF('業務'!$M$4:$M$200,A12))</f>
        <v/>
      </c>
      <c r="O12" s="41">
        <f>IF(A12="","",IF(N12=0,"対象外",IF(COUNTIFS('業務'!$M$4:$M$200,A12,'業務'!$P$4:$P$200,"移管")=N12,"移管",IF(COUNTIFS('業務'!$M$4:$M$200,A12,'業務'!$P$4:$P$200,"移管")&gt;0,"一部",IF(COUNTIFS('業務'!$M$4:$M$200,A12,'業務'!$P$4:$P$200,"対象外")+COUNTIFS('業務'!$M$4:$M$200,A12,'業務'!$P$4:$P$200,"留保")=N12,IF(COUNTIFS('業務'!$M$4:$M$200,A12,'業務'!$P$4:$P$200,"留保")&gt;0,"留保","対象外"),"判定保留")))))</f>
        <v/>
      </c>
    </row>
    <row r="13">
      <c r="A13" s="17" t="n"/>
      <c r="B13" s="17" t="n"/>
      <c r="C13" s="17" t="n"/>
      <c r="D13" s="41">
        <f>IF(C13="","",IFERROR(INDEX('予算シート'!$B:$B,MATCH(C13,'予算シート'!$A:$A,0)),"案件が未登録"))</f>
        <v/>
      </c>
      <c r="E13" s="17" t="n"/>
      <c r="F13" s="17" t="n"/>
      <c r="G13" s="17" t="n"/>
      <c r="H13" s="29" t="n"/>
      <c r="I13" s="29" t="n"/>
      <c r="J13" s="17" t="n"/>
      <c r="K13" s="20" t="n"/>
      <c r="L13" s="41">
        <f>IF(OR(I13="",K13=""),"",EDATE(I13,-K13))</f>
        <v/>
      </c>
      <c r="M13" s="18" t="n"/>
      <c r="N13" s="45">
        <f>IF(A13="","",COUNTIF('業務'!$M$4:$M$200,A13))</f>
        <v/>
      </c>
      <c r="O13" s="41">
        <f>IF(A13="","",IF(N13=0,"対象外",IF(COUNTIFS('業務'!$M$4:$M$200,A13,'業務'!$P$4:$P$200,"移管")=N13,"移管",IF(COUNTIFS('業務'!$M$4:$M$200,A13,'業務'!$P$4:$P$200,"移管")&gt;0,"一部",IF(COUNTIFS('業務'!$M$4:$M$200,A13,'業務'!$P$4:$P$200,"対象外")+COUNTIFS('業務'!$M$4:$M$200,A13,'業務'!$P$4:$P$200,"留保")=N13,IF(COUNTIFS('業務'!$M$4:$M$200,A13,'業務'!$P$4:$P$200,"留保")&gt;0,"留保","対象外"),"判定保留")))))</f>
        <v/>
      </c>
    </row>
    <row r="14">
      <c r="A14" s="17" t="n"/>
      <c r="B14" s="17" t="n"/>
      <c r="C14" s="17" t="n"/>
      <c r="D14" s="41">
        <f>IF(C14="","",IFERROR(INDEX('予算シート'!$B:$B,MATCH(C14,'予算シート'!$A:$A,0)),"案件が未登録"))</f>
        <v/>
      </c>
      <c r="E14" s="17" t="n"/>
      <c r="F14" s="17" t="n"/>
      <c r="G14" s="17" t="n"/>
      <c r="H14" s="29" t="n"/>
      <c r="I14" s="29" t="n"/>
      <c r="J14" s="17" t="n"/>
      <c r="K14" s="20" t="n"/>
      <c r="L14" s="41">
        <f>IF(OR(I14="",K14=""),"",EDATE(I14,-K14))</f>
        <v/>
      </c>
      <c r="M14" s="18" t="n"/>
      <c r="N14" s="45">
        <f>IF(A14="","",COUNTIF('業務'!$M$4:$M$200,A14))</f>
        <v/>
      </c>
      <c r="O14" s="41">
        <f>IF(A14="","",IF(N14=0,"対象外",IF(COUNTIFS('業務'!$M$4:$M$200,A14,'業務'!$P$4:$P$200,"移管")=N14,"移管",IF(COUNTIFS('業務'!$M$4:$M$200,A14,'業務'!$P$4:$P$200,"移管")&gt;0,"一部",IF(COUNTIFS('業務'!$M$4:$M$200,A14,'業務'!$P$4:$P$200,"対象外")+COUNTIFS('業務'!$M$4:$M$200,A14,'業務'!$P$4:$P$200,"留保")=N14,IF(COUNTIFS('業務'!$M$4:$M$200,A14,'業務'!$P$4:$P$200,"留保")&gt;0,"留保","対象外"),"判定保留")))))</f>
        <v/>
      </c>
    </row>
    <row r="15">
      <c r="A15" s="17" t="n"/>
      <c r="B15" s="17" t="n"/>
      <c r="C15" s="17" t="n"/>
      <c r="D15" s="41">
        <f>IF(C15="","",IFERROR(INDEX('予算シート'!$B:$B,MATCH(C15,'予算シート'!$A:$A,0)),"案件が未登録"))</f>
        <v/>
      </c>
      <c r="E15" s="17" t="n"/>
      <c r="F15" s="17" t="n"/>
      <c r="G15" s="17" t="n"/>
      <c r="H15" s="29" t="n"/>
      <c r="I15" s="29" t="n"/>
      <c r="J15" s="17" t="n"/>
      <c r="K15" s="20" t="n"/>
      <c r="L15" s="41">
        <f>IF(OR(I15="",K15=""),"",EDATE(I15,-K15))</f>
        <v/>
      </c>
      <c r="M15" s="18" t="n"/>
      <c r="N15" s="45">
        <f>IF(A15="","",COUNTIF('業務'!$M$4:$M$200,A15))</f>
        <v/>
      </c>
      <c r="O15" s="41">
        <f>IF(A15="","",IF(N15=0,"対象外",IF(COUNTIFS('業務'!$M$4:$M$200,A15,'業務'!$P$4:$P$200,"移管")=N15,"移管",IF(COUNTIFS('業務'!$M$4:$M$200,A15,'業務'!$P$4:$P$200,"移管")&gt;0,"一部",IF(COUNTIFS('業務'!$M$4:$M$200,A15,'業務'!$P$4:$P$200,"対象外")+COUNTIFS('業務'!$M$4:$M$200,A15,'業務'!$P$4:$P$200,"留保")=N15,IF(COUNTIFS('業務'!$M$4:$M$200,A15,'業務'!$P$4:$P$200,"留保")&gt;0,"留保","対象外"),"判定保留")))))</f>
        <v/>
      </c>
    </row>
    <row r="16">
      <c r="A16" s="17" t="n"/>
      <c r="B16" s="17" t="n"/>
      <c r="C16" s="17" t="n"/>
      <c r="D16" s="41">
        <f>IF(C16="","",IFERROR(INDEX('予算シート'!$B:$B,MATCH(C16,'予算シート'!$A:$A,0)),"案件が未登録"))</f>
        <v/>
      </c>
      <c r="E16" s="17" t="n"/>
      <c r="F16" s="17" t="n"/>
      <c r="G16" s="17" t="n"/>
      <c r="H16" s="29" t="n"/>
      <c r="I16" s="29" t="n"/>
      <c r="J16" s="17" t="n"/>
      <c r="K16" s="20" t="n"/>
      <c r="L16" s="41">
        <f>IF(OR(I16="",K16=""),"",EDATE(I16,-K16))</f>
        <v/>
      </c>
      <c r="M16" s="18" t="n"/>
      <c r="N16" s="45">
        <f>IF(A16="","",COUNTIF('業務'!$M$4:$M$200,A16))</f>
        <v/>
      </c>
      <c r="O16" s="41">
        <f>IF(A16="","",IF(N16=0,"対象外",IF(COUNTIFS('業務'!$M$4:$M$200,A16,'業務'!$P$4:$P$200,"移管")=N16,"移管",IF(COUNTIFS('業務'!$M$4:$M$200,A16,'業務'!$P$4:$P$200,"移管")&gt;0,"一部",IF(COUNTIFS('業務'!$M$4:$M$200,A16,'業務'!$P$4:$P$200,"対象外")+COUNTIFS('業務'!$M$4:$M$200,A16,'業務'!$P$4:$P$200,"留保")=N16,IF(COUNTIFS('業務'!$M$4:$M$200,A16,'業務'!$P$4:$P$200,"留保")&gt;0,"留保","対象外"),"判定保留")))))</f>
        <v/>
      </c>
    </row>
    <row r="17">
      <c r="A17" s="17" t="n"/>
      <c r="B17" s="17" t="n"/>
      <c r="C17" s="17" t="n"/>
      <c r="D17" s="41">
        <f>IF(C17="","",IFERROR(INDEX('予算シート'!$B:$B,MATCH(C17,'予算シート'!$A:$A,0)),"案件が未登録"))</f>
        <v/>
      </c>
      <c r="E17" s="17" t="n"/>
      <c r="F17" s="17" t="n"/>
      <c r="G17" s="17" t="n"/>
      <c r="H17" s="29" t="n"/>
      <c r="I17" s="29" t="n"/>
      <c r="J17" s="17" t="n"/>
      <c r="K17" s="20" t="n"/>
      <c r="L17" s="41">
        <f>IF(OR(I17="",K17=""),"",EDATE(I17,-K17))</f>
        <v/>
      </c>
      <c r="M17" s="18" t="n"/>
      <c r="N17" s="45">
        <f>IF(A17="","",COUNTIF('業務'!$M$4:$M$200,A17))</f>
        <v/>
      </c>
      <c r="O17" s="41">
        <f>IF(A17="","",IF(N17=0,"対象外",IF(COUNTIFS('業務'!$M$4:$M$200,A17,'業務'!$P$4:$P$200,"移管")=N17,"移管",IF(COUNTIFS('業務'!$M$4:$M$200,A17,'業務'!$P$4:$P$200,"移管")&gt;0,"一部",IF(COUNTIFS('業務'!$M$4:$M$200,A17,'業務'!$P$4:$P$200,"対象外")+COUNTIFS('業務'!$M$4:$M$200,A17,'業務'!$P$4:$P$200,"留保")=N17,IF(COUNTIFS('業務'!$M$4:$M$200,A17,'業務'!$P$4:$P$200,"留保")&gt;0,"留保","対象外"),"判定保留")))))</f>
        <v/>
      </c>
    </row>
    <row r="18">
      <c r="A18" s="17" t="n"/>
      <c r="B18" s="17" t="n"/>
      <c r="C18" s="17" t="n"/>
      <c r="D18" s="41">
        <f>IF(C18="","",IFERROR(INDEX('予算シート'!$B:$B,MATCH(C18,'予算シート'!$A:$A,0)),"案件が未登録"))</f>
        <v/>
      </c>
      <c r="E18" s="17" t="n"/>
      <c r="F18" s="17" t="n"/>
      <c r="G18" s="17" t="n"/>
      <c r="H18" s="29" t="n"/>
      <c r="I18" s="29" t="n"/>
      <c r="J18" s="17" t="n"/>
      <c r="K18" s="20" t="n"/>
      <c r="L18" s="41">
        <f>IF(OR(I18="",K18=""),"",EDATE(I18,-K18))</f>
        <v/>
      </c>
      <c r="M18" s="18" t="n"/>
      <c r="N18" s="45">
        <f>IF(A18="","",COUNTIF('業務'!$M$4:$M$200,A18))</f>
        <v/>
      </c>
      <c r="O18" s="41">
        <f>IF(A18="","",IF(N18=0,"対象外",IF(COUNTIFS('業務'!$M$4:$M$200,A18,'業務'!$P$4:$P$200,"移管")=N18,"移管",IF(COUNTIFS('業務'!$M$4:$M$200,A18,'業務'!$P$4:$P$200,"移管")&gt;0,"一部",IF(COUNTIFS('業務'!$M$4:$M$200,A18,'業務'!$P$4:$P$200,"対象外")+COUNTIFS('業務'!$M$4:$M$200,A18,'業務'!$P$4:$P$200,"留保")=N18,IF(COUNTIFS('業務'!$M$4:$M$200,A18,'業務'!$P$4:$P$200,"留保")&gt;0,"留保","対象外"),"判定保留")))))</f>
        <v/>
      </c>
    </row>
    <row r="19">
      <c r="A19" s="17" t="n"/>
      <c r="B19" s="17" t="n"/>
      <c r="C19" s="17" t="n"/>
      <c r="D19" s="41">
        <f>IF(C19="","",IFERROR(INDEX('予算シート'!$B:$B,MATCH(C19,'予算シート'!$A:$A,0)),"案件が未登録"))</f>
        <v/>
      </c>
      <c r="E19" s="17" t="n"/>
      <c r="F19" s="17" t="n"/>
      <c r="G19" s="17" t="n"/>
      <c r="H19" s="29" t="n"/>
      <c r="I19" s="29" t="n"/>
      <c r="J19" s="17" t="n"/>
      <c r="K19" s="20" t="n"/>
      <c r="L19" s="41">
        <f>IF(OR(I19="",K19=""),"",EDATE(I19,-K19))</f>
        <v/>
      </c>
      <c r="M19" s="18" t="n"/>
      <c r="N19" s="45">
        <f>IF(A19="","",COUNTIF('業務'!$M$4:$M$200,A19))</f>
        <v/>
      </c>
      <c r="O19" s="41">
        <f>IF(A19="","",IF(N19=0,"対象外",IF(COUNTIFS('業務'!$M$4:$M$200,A19,'業務'!$P$4:$P$200,"移管")=N19,"移管",IF(COUNTIFS('業務'!$M$4:$M$200,A19,'業務'!$P$4:$P$200,"移管")&gt;0,"一部",IF(COUNTIFS('業務'!$M$4:$M$200,A19,'業務'!$P$4:$P$200,"対象外")+COUNTIFS('業務'!$M$4:$M$200,A19,'業務'!$P$4:$P$200,"留保")=N19,IF(COUNTIFS('業務'!$M$4:$M$200,A19,'業務'!$P$4:$P$200,"留保")&gt;0,"留保","対象外"),"判定保留")))))</f>
        <v/>
      </c>
    </row>
    <row r="20">
      <c r="A20" s="17" t="n"/>
      <c r="B20" s="17" t="n"/>
      <c r="C20" s="17" t="n"/>
      <c r="D20" s="41">
        <f>IF(C20="","",IFERROR(INDEX('予算シート'!$B:$B,MATCH(C20,'予算シート'!$A:$A,0)),"案件が未登録"))</f>
        <v/>
      </c>
      <c r="E20" s="17" t="n"/>
      <c r="F20" s="17" t="n"/>
      <c r="G20" s="17" t="n"/>
      <c r="H20" s="29" t="n"/>
      <c r="I20" s="29" t="n"/>
      <c r="J20" s="17" t="n"/>
      <c r="K20" s="20" t="n"/>
      <c r="L20" s="41">
        <f>IF(OR(I20="",K20=""),"",EDATE(I20,-K20))</f>
        <v/>
      </c>
      <c r="M20" s="18" t="n"/>
      <c r="N20" s="45">
        <f>IF(A20="","",COUNTIF('業務'!$M$4:$M$200,A20))</f>
        <v/>
      </c>
      <c r="O20" s="41">
        <f>IF(A20="","",IF(N20=0,"対象外",IF(COUNTIFS('業務'!$M$4:$M$200,A20,'業務'!$P$4:$P$200,"移管")=N20,"移管",IF(COUNTIFS('業務'!$M$4:$M$200,A20,'業務'!$P$4:$P$200,"移管")&gt;0,"一部",IF(COUNTIFS('業務'!$M$4:$M$200,A20,'業務'!$P$4:$P$200,"対象外")+COUNTIFS('業務'!$M$4:$M$200,A20,'業務'!$P$4:$P$200,"留保")=N20,IF(COUNTIFS('業務'!$M$4:$M$200,A20,'業務'!$P$4:$P$200,"留保")&gt;0,"留保","対象外"),"判定保留")))))</f>
        <v/>
      </c>
    </row>
    <row r="21">
      <c r="A21" s="17" t="n"/>
      <c r="B21" s="17" t="n"/>
      <c r="C21" s="17" t="n"/>
      <c r="D21" s="41">
        <f>IF(C21="","",IFERROR(INDEX('予算シート'!$B:$B,MATCH(C21,'予算シート'!$A:$A,0)),"案件が未登録"))</f>
        <v/>
      </c>
      <c r="E21" s="17" t="n"/>
      <c r="F21" s="17" t="n"/>
      <c r="G21" s="17" t="n"/>
      <c r="H21" s="29" t="n"/>
      <c r="I21" s="29" t="n"/>
      <c r="J21" s="17" t="n"/>
      <c r="K21" s="20" t="n"/>
      <c r="L21" s="41">
        <f>IF(OR(I21="",K21=""),"",EDATE(I21,-K21))</f>
        <v/>
      </c>
      <c r="M21" s="18" t="n"/>
      <c r="N21" s="45">
        <f>IF(A21="","",COUNTIF('業務'!$M$4:$M$200,A21))</f>
        <v/>
      </c>
      <c r="O21" s="41">
        <f>IF(A21="","",IF(N21=0,"対象外",IF(COUNTIFS('業務'!$M$4:$M$200,A21,'業務'!$P$4:$P$200,"移管")=N21,"移管",IF(COUNTIFS('業務'!$M$4:$M$200,A21,'業務'!$P$4:$P$200,"移管")&gt;0,"一部",IF(COUNTIFS('業務'!$M$4:$M$200,A21,'業務'!$P$4:$P$200,"対象外")+COUNTIFS('業務'!$M$4:$M$200,A21,'業務'!$P$4:$P$200,"留保")=N21,IF(COUNTIFS('業務'!$M$4:$M$200,A21,'業務'!$P$4:$P$200,"留保")&gt;0,"留保","対象外"),"判定保留")))))</f>
        <v/>
      </c>
    </row>
    <row r="22">
      <c r="A22" s="17" t="n"/>
      <c r="B22" s="17" t="n"/>
      <c r="C22" s="17" t="n"/>
      <c r="D22" s="41">
        <f>IF(C22="","",IFERROR(INDEX('予算シート'!$B:$B,MATCH(C22,'予算シート'!$A:$A,0)),"案件が未登録"))</f>
        <v/>
      </c>
      <c r="E22" s="17" t="n"/>
      <c r="F22" s="17" t="n"/>
      <c r="G22" s="17" t="n"/>
      <c r="H22" s="29" t="n"/>
      <c r="I22" s="29" t="n"/>
      <c r="J22" s="17" t="n"/>
      <c r="K22" s="20" t="n"/>
      <c r="L22" s="41">
        <f>IF(OR(I22="",K22=""),"",EDATE(I22,-K22))</f>
        <v/>
      </c>
      <c r="M22" s="18" t="n"/>
      <c r="N22" s="45">
        <f>IF(A22="","",COUNTIF('業務'!$M$4:$M$200,A22))</f>
        <v/>
      </c>
      <c r="O22" s="41">
        <f>IF(A22="","",IF(N22=0,"対象外",IF(COUNTIFS('業務'!$M$4:$M$200,A22,'業務'!$P$4:$P$200,"移管")=N22,"移管",IF(COUNTIFS('業務'!$M$4:$M$200,A22,'業務'!$P$4:$P$200,"移管")&gt;0,"一部",IF(COUNTIFS('業務'!$M$4:$M$200,A22,'業務'!$P$4:$P$200,"対象外")+COUNTIFS('業務'!$M$4:$M$200,A22,'業務'!$P$4:$P$200,"留保")=N22,IF(COUNTIFS('業務'!$M$4:$M$200,A22,'業務'!$P$4:$P$200,"留保")&gt;0,"留保","対象外"),"判定保留")))))</f>
        <v/>
      </c>
    </row>
    <row r="23">
      <c r="A23" s="17" t="n"/>
      <c r="B23" s="17" t="n"/>
      <c r="C23" s="17" t="n"/>
      <c r="D23" s="41">
        <f>IF(C23="","",IFERROR(INDEX('予算シート'!$B:$B,MATCH(C23,'予算シート'!$A:$A,0)),"案件が未登録"))</f>
        <v/>
      </c>
      <c r="E23" s="17" t="n"/>
      <c r="F23" s="17" t="n"/>
      <c r="G23" s="17" t="n"/>
      <c r="H23" s="29" t="n"/>
      <c r="I23" s="29" t="n"/>
      <c r="J23" s="17" t="n"/>
      <c r="K23" s="20" t="n"/>
      <c r="L23" s="41">
        <f>IF(OR(I23="",K23=""),"",EDATE(I23,-K23))</f>
        <v/>
      </c>
      <c r="M23" s="18" t="n"/>
      <c r="N23" s="45">
        <f>IF(A23="","",COUNTIF('業務'!$M$4:$M$200,A23))</f>
        <v/>
      </c>
      <c r="O23" s="41">
        <f>IF(A23="","",IF(N23=0,"対象外",IF(COUNTIFS('業務'!$M$4:$M$200,A23,'業務'!$P$4:$P$200,"移管")=N23,"移管",IF(COUNTIFS('業務'!$M$4:$M$200,A23,'業務'!$P$4:$P$200,"移管")&gt;0,"一部",IF(COUNTIFS('業務'!$M$4:$M$200,A23,'業務'!$P$4:$P$200,"対象外")+COUNTIFS('業務'!$M$4:$M$200,A23,'業務'!$P$4:$P$200,"留保")=N23,IF(COUNTIFS('業務'!$M$4:$M$200,A23,'業務'!$P$4:$P$200,"留保")&gt;0,"留保","対象外"),"判定保留")))))</f>
        <v/>
      </c>
    </row>
    <row r="24">
      <c r="A24" s="17" t="n"/>
      <c r="B24" s="17" t="n"/>
      <c r="C24" s="17" t="n"/>
      <c r="D24" s="41">
        <f>IF(C24="","",IFERROR(INDEX('予算シート'!$B:$B,MATCH(C24,'予算シート'!$A:$A,0)),"案件が未登録"))</f>
        <v/>
      </c>
      <c r="E24" s="17" t="n"/>
      <c r="F24" s="17" t="n"/>
      <c r="G24" s="17" t="n"/>
      <c r="H24" s="29" t="n"/>
      <c r="I24" s="29" t="n"/>
      <c r="J24" s="17" t="n"/>
      <c r="K24" s="20" t="n"/>
      <c r="L24" s="41">
        <f>IF(OR(I24="",K24=""),"",EDATE(I24,-K24))</f>
        <v/>
      </c>
      <c r="M24" s="18" t="n"/>
      <c r="N24" s="45">
        <f>IF(A24="","",COUNTIF('業務'!$M$4:$M$200,A24))</f>
        <v/>
      </c>
      <c r="O24" s="41">
        <f>IF(A24="","",IF(N24=0,"対象外",IF(COUNTIFS('業務'!$M$4:$M$200,A24,'業務'!$P$4:$P$200,"移管")=N24,"移管",IF(COUNTIFS('業務'!$M$4:$M$200,A24,'業務'!$P$4:$P$200,"移管")&gt;0,"一部",IF(COUNTIFS('業務'!$M$4:$M$200,A24,'業務'!$P$4:$P$200,"対象外")+COUNTIFS('業務'!$M$4:$M$200,A24,'業務'!$P$4:$P$200,"留保")=N24,IF(COUNTIFS('業務'!$M$4:$M$200,A24,'業務'!$P$4:$P$200,"留保")&gt;0,"留保","対象外"),"判定保留")))))</f>
        <v/>
      </c>
    </row>
    <row r="25">
      <c r="A25" s="17" t="n"/>
      <c r="B25" s="17" t="n"/>
      <c r="C25" s="17" t="n"/>
      <c r="D25" s="41">
        <f>IF(C25="","",IFERROR(INDEX('予算シート'!$B:$B,MATCH(C25,'予算シート'!$A:$A,0)),"案件が未登録"))</f>
        <v/>
      </c>
      <c r="E25" s="17" t="n"/>
      <c r="F25" s="17" t="n"/>
      <c r="G25" s="17" t="n"/>
      <c r="H25" s="29" t="n"/>
      <c r="I25" s="29" t="n"/>
      <c r="J25" s="17" t="n"/>
      <c r="K25" s="20" t="n"/>
      <c r="L25" s="41">
        <f>IF(OR(I25="",K25=""),"",EDATE(I25,-K25))</f>
        <v/>
      </c>
      <c r="M25" s="18" t="n"/>
      <c r="N25" s="45">
        <f>IF(A25="","",COUNTIF('業務'!$M$4:$M$200,A25))</f>
        <v/>
      </c>
      <c r="O25" s="41">
        <f>IF(A25="","",IF(N25=0,"対象外",IF(COUNTIFS('業務'!$M$4:$M$200,A25,'業務'!$P$4:$P$200,"移管")=N25,"移管",IF(COUNTIFS('業務'!$M$4:$M$200,A25,'業務'!$P$4:$P$200,"移管")&gt;0,"一部",IF(COUNTIFS('業務'!$M$4:$M$200,A25,'業務'!$P$4:$P$200,"対象外")+COUNTIFS('業務'!$M$4:$M$200,A25,'業務'!$P$4:$P$200,"留保")=N25,IF(COUNTIFS('業務'!$M$4:$M$200,A25,'業務'!$P$4:$P$200,"留保")&gt;0,"留保","対象外"),"判定保留")))))</f>
        <v/>
      </c>
    </row>
    <row r="26">
      <c r="A26" s="17" t="n"/>
      <c r="B26" s="17" t="n"/>
      <c r="C26" s="17" t="n"/>
      <c r="D26" s="41">
        <f>IF(C26="","",IFERROR(INDEX('予算シート'!$B:$B,MATCH(C26,'予算シート'!$A:$A,0)),"案件が未登録"))</f>
        <v/>
      </c>
      <c r="E26" s="17" t="n"/>
      <c r="F26" s="17" t="n"/>
      <c r="G26" s="17" t="n"/>
      <c r="H26" s="29" t="n"/>
      <c r="I26" s="29" t="n"/>
      <c r="J26" s="17" t="n"/>
      <c r="K26" s="20" t="n"/>
      <c r="L26" s="41">
        <f>IF(OR(I26="",K26=""),"",EDATE(I26,-K26))</f>
        <v/>
      </c>
      <c r="M26" s="18" t="n"/>
      <c r="N26" s="45">
        <f>IF(A26="","",COUNTIF('業務'!$M$4:$M$200,A26))</f>
        <v/>
      </c>
      <c r="O26" s="41">
        <f>IF(A26="","",IF(N26=0,"対象外",IF(COUNTIFS('業務'!$M$4:$M$200,A26,'業務'!$P$4:$P$200,"移管")=N26,"移管",IF(COUNTIFS('業務'!$M$4:$M$200,A26,'業務'!$P$4:$P$200,"移管")&gt;0,"一部",IF(COUNTIFS('業務'!$M$4:$M$200,A26,'業務'!$P$4:$P$200,"対象外")+COUNTIFS('業務'!$M$4:$M$200,A26,'業務'!$P$4:$P$200,"留保")=N26,IF(COUNTIFS('業務'!$M$4:$M$200,A26,'業務'!$P$4:$P$200,"留保")&gt;0,"留保","対象外"),"判定保留")))))</f>
        <v/>
      </c>
    </row>
    <row r="27">
      <c r="A27" s="17" t="n"/>
      <c r="B27" s="17" t="n"/>
      <c r="C27" s="17" t="n"/>
      <c r="D27" s="41">
        <f>IF(C27="","",IFERROR(INDEX('予算シート'!$B:$B,MATCH(C27,'予算シート'!$A:$A,0)),"案件が未登録"))</f>
        <v/>
      </c>
      <c r="E27" s="17" t="n"/>
      <c r="F27" s="17" t="n"/>
      <c r="G27" s="17" t="n"/>
      <c r="H27" s="29" t="n"/>
      <c r="I27" s="29" t="n"/>
      <c r="J27" s="17" t="n"/>
      <c r="K27" s="20" t="n"/>
      <c r="L27" s="41">
        <f>IF(OR(I27="",K27=""),"",EDATE(I27,-K27))</f>
        <v/>
      </c>
      <c r="M27" s="18" t="n"/>
      <c r="N27" s="45">
        <f>IF(A27="","",COUNTIF('業務'!$M$4:$M$200,A27))</f>
        <v/>
      </c>
      <c r="O27" s="41">
        <f>IF(A27="","",IF(N27=0,"対象外",IF(COUNTIFS('業務'!$M$4:$M$200,A27,'業務'!$P$4:$P$200,"移管")=N27,"移管",IF(COUNTIFS('業務'!$M$4:$M$200,A27,'業務'!$P$4:$P$200,"移管")&gt;0,"一部",IF(COUNTIFS('業務'!$M$4:$M$200,A27,'業務'!$P$4:$P$200,"対象外")+COUNTIFS('業務'!$M$4:$M$200,A27,'業務'!$P$4:$P$200,"留保")=N27,IF(COUNTIFS('業務'!$M$4:$M$200,A27,'業務'!$P$4:$P$200,"留保")&gt;0,"留保","対象外"),"判定保留")))))</f>
        <v/>
      </c>
    </row>
    <row r="28">
      <c r="A28" s="17" t="n"/>
      <c r="B28" s="17" t="n"/>
      <c r="C28" s="17" t="n"/>
      <c r="D28" s="41">
        <f>IF(C28="","",IFERROR(INDEX('予算シート'!$B:$B,MATCH(C28,'予算シート'!$A:$A,0)),"案件が未登録"))</f>
        <v/>
      </c>
      <c r="E28" s="17" t="n"/>
      <c r="F28" s="17" t="n"/>
      <c r="G28" s="17" t="n"/>
      <c r="H28" s="29" t="n"/>
      <c r="I28" s="29" t="n"/>
      <c r="J28" s="17" t="n"/>
      <c r="K28" s="20" t="n"/>
      <c r="L28" s="41">
        <f>IF(OR(I28="",K28=""),"",EDATE(I28,-K28))</f>
        <v/>
      </c>
      <c r="M28" s="18" t="n"/>
      <c r="N28" s="45">
        <f>IF(A28="","",COUNTIF('業務'!$M$4:$M$200,A28))</f>
        <v/>
      </c>
      <c r="O28" s="41">
        <f>IF(A28="","",IF(N28=0,"対象外",IF(COUNTIFS('業務'!$M$4:$M$200,A28,'業務'!$P$4:$P$200,"移管")=N28,"移管",IF(COUNTIFS('業務'!$M$4:$M$200,A28,'業務'!$P$4:$P$200,"移管")&gt;0,"一部",IF(COUNTIFS('業務'!$M$4:$M$200,A28,'業務'!$P$4:$P$200,"対象外")+COUNTIFS('業務'!$M$4:$M$200,A28,'業務'!$P$4:$P$200,"留保")=N28,IF(COUNTIFS('業務'!$M$4:$M$200,A28,'業務'!$P$4:$P$200,"留保")&gt;0,"留保","対象外"),"判定保留")))))</f>
        <v/>
      </c>
    </row>
    <row r="29">
      <c r="A29" s="17" t="n"/>
      <c r="B29" s="17" t="n"/>
      <c r="C29" s="17" t="n"/>
      <c r="D29" s="41">
        <f>IF(C29="","",IFERROR(INDEX('予算シート'!$B:$B,MATCH(C29,'予算シート'!$A:$A,0)),"案件が未登録"))</f>
        <v/>
      </c>
      <c r="E29" s="17" t="n"/>
      <c r="F29" s="17" t="n"/>
      <c r="G29" s="17" t="n"/>
      <c r="H29" s="29" t="n"/>
      <c r="I29" s="29" t="n"/>
      <c r="J29" s="17" t="n"/>
      <c r="K29" s="20" t="n"/>
      <c r="L29" s="41">
        <f>IF(OR(I29="",K29=""),"",EDATE(I29,-K29))</f>
        <v/>
      </c>
      <c r="M29" s="18" t="n"/>
      <c r="N29" s="45">
        <f>IF(A29="","",COUNTIF('業務'!$M$4:$M$200,A29))</f>
        <v/>
      </c>
      <c r="O29" s="41">
        <f>IF(A29="","",IF(N29=0,"対象外",IF(COUNTIFS('業務'!$M$4:$M$200,A29,'業務'!$P$4:$P$200,"移管")=N29,"移管",IF(COUNTIFS('業務'!$M$4:$M$200,A29,'業務'!$P$4:$P$200,"移管")&gt;0,"一部",IF(COUNTIFS('業務'!$M$4:$M$200,A29,'業務'!$P$4:$P$200,"対象外")+COUNTIFS('業務'!$M$4:$M$200,A29,'業務'!$P$4:$P$200,"留保")=N29,IF(COUNTIFS('業務'!$M$4:$M$200,A29,'業務'!$P$4:$P$200,"留保")&gt;0,"留保","対象外"),"判定保留")))))</f>
        <v/>
      </c>
    </row>
    <row r="30">
      <c r="A30" s="17" t="n"/>
      <c r="B30" s="17" t="n"/>
      <c r="C30" s="17" t="n"/>
      <c r="D30" s="41">
        <f>IF(C30="","",IFERROR(INDEX('予算シート'!$B:$B,MATCH(C30,'予算シート'!$A:$A,0)),"案件が未登録"))</f>
        <v/>
      </c>
      <c r="E30" s="17" t="n"/>
      <c r="F30" s="17" t="n"/>
      <c r="G30" s="17" t="n"/>
      <c r="H30" s="29" t="n"/>
      <c r="I30" s="29" t="n"/>
      <c r="J30" s="17" t="n"/>
      <c r="K30" s="20" t="n"/>
      <c r="L30" s="41">
        <f>IF(OR(I30="",K30=""),"",EDATE(I30,-K30))</f>
        <v/>
      </c>
      <c r="M30" s="18" t="n"/>
      <c r="N30" s="45">
        <f>IF(A30="","",COUNTIF('業務'!$M$4:$M$200,A30))</f>
        <v/>
      </c>
      <c r="O30" s="41">
        <f>IF(A30="","",IF(N30=0,"対象外",IF(COUNTIFS('業務'!$M$4:$M$200,A30,'業務'!$P$4:$P$200,"移管")=N30,"移管",IF(COUNTIFS('業務'!$M$4:$M$200,A30,'業務'!$P$4:$P$200,"移管")&gt;0,"一部",IF(COUNTIFS('業務'!$M$4:$M$200,A30,'業務'!$P$4:$P$200,"対象外")+COUNTIFS('業務'!$M$4:$M$200,A30,'業務'!$P$4:$P$200,"留保")=N30,IF(COUNTIFS('業務'!$M$4:$M$200,A30,'業務'!$P$4:$P$200,"留保")&gt;0,"留保","対象外"),"判定保留")))))</f>
        <v/>
      </c>
    </row>
    <row r="31">
      <c r="A31" s="17" t="n"/>
      <c r="B31" s="17" t="n"/>
      <c r="C31" s="17" t="n"/>
      <c r="D31" s="41">
        <f>IF(C31="","",IFERROR(INDEX('予算シート'!$B:$B,MATCH(C31,'予算シート'!$A:$A,0)),"案件が未登録"))</f>
        <v/>
      </c>
      <c r="E31" s="17" t="n"/>
      <c r="F31" s="17" t="n"/>
      <c r="G31" s="17" t="n"/>
      <c r="H31" s="29" t="n"/>
      <c r="I31" s="29" t="n"/>
      <c r="J31" s="17" t="n"/>
      <c r="K31" s="20" t="n"/>
      <c r="L31" s="41">
        <f>IF(OR(I31="",K31=""),"",EDATE(I31,-K31))</f>
        <v/>
      </c>
      <c r="M31" s="18" t="n"/>
      <c r="N31" s="45">
        <f>IF(A31="","",COUNTIF('業務'!$M$4:$M$200,A31))</f>
        <v/>
      </c>
      <c r="O31" s="41">
        <f>IF(A31="","",IF(N31=0,"対象外",IF(COUNTIFS('業務'!$M$4:$M$200,A31,'業務'!$P$4:$P$200,"移管")=N31,"移管",IF(COUNTIFS('業務'!$M$4:$M$200,A31,'業務'!$P$4:$P$200,"移管")&gt;0,"一部",IF(COUNTIFS('業務'!$M$4:$M$200,A31,'業務'!$P$4:$P$200,"対象外")+COUNTIFS('業務'!$M$4:$M$200,A31,'業務'!$P$4:$P$200,"留保")=N31,IF(COUNTIFS('業務'!$M$4:$M$200,A31,'業務'!$P$4:$P$200,"留保")&gt;0,"留保","対象外"),"判定保留")))))</f>
        <v/>
      </c>
    </row>
    <row r="32">
      <c r="A32" s="17" t="n"/>
      <c r="B32" s="17" t="n"/>
      <c r="C32" s="17" t="n"/>
      <c r="D32" s="41">
        <f>IF(C32="","",IFERROR(INDEX('予算シート'!$B:$B,MATCH(C32,'予算シート'!$A:$A,0)),"案件が未登録"))</f>
        <v/>
      </c>
      <c r="E32" s="17" t="n"/>
      <c r="F32" s="17" t="n"/>
      <c r="G32" s="17" t="n"/>
      <c r="H32" s="29" t="n"/>
      <c r="I32" s="29" t="n"/>
      <c r="J32" s="17" t="n"/>
      <c r="K32" s="20" t="n"/>
      <c r="L32" s="41">
        <f>IF(OR(I32="",K32=""),"",EDATE(I32,-K32))</f>
        <v/>
      </c>
      <c r="M32" s="18" t="n"/>
      <c r="N32" s="45">
        <f>IF(A32="","",COUNTIF('業務'!$M$4:$M$200,A32))</f>
        <v/>
      </c>
      <c r="O32" s="41">
        <f>IF(A32="","",IF(N32=0,"対象外",IF(COUNTIFS('業務'!$M$4:$M$200,A32,'業務'!$P$4:$P$200,"移管")=N32,"移管",IF(COUNTIFS('業務'!$M$4:$M$200,A32,'業務'!$P$4:$P$200,"移管")&gt;0,"一部",IF(COUNTIFS('業務'!$M$4:$M$200,A32,'業務'!$P$4:$P$200,"対象外")+COUNTIFS('業務'!$M$4:$M$200,A32,'業務'!$P$4:$P$200,"留保")=N32,IF(COUNTIFS('業務'!$M$4:$M$200,A32,'業務'!$P$4:$P$200,"留保")&gt;0,"留保","対象外"),"判定保留")))))</f>
        <v/>
      </c>
    </row>
    <row r="33">
      <c r="A33" s="17" t="n"/>
      <c r="B33" s="17" t="n"/>
      <c r="C33" s="17" t="n"/>
      <c r="D33" s="41">
        <f>IF(C33="","",IFERROR(INDEX('予算シート'!$B:$B,MATCH(C33,'予算シート'!$A:$A,0)),"案件が未登録"))</f>
        <v/>
      </c>
      <c r="E33" s="17" t="n"/>
      <c r="F33" s="17" t="n"/>
      <c r="G33" s="17" t="n"/>
      <c r="H33" s="29" t="n"/>
      <c r="I33" s="29" t="n"/>
      <c r="J33" s="17" t="n"/>
      <c r="K33" s="20" t="n"/>
      <c r="L33" s="41">
        <f>IF(OR(I33="",K33=""),"",EDATE(I33,-K33))</f>
        <v/>
      </c>
      <c r="M33" s="18" t="n"/>
      <c r="N33" s="45">
        <f>IF(A33="","",COUNTIF('業務'!$M$4:$M$200,A33))</f>
        <v/>
      </c>
      <c r="O33" s="41">
        <f>IF(A33="","",IF(N33=0,"対象外",IF(COUNTIFS('業務'!$M$4:$M$200,A33,'業務'!$P$4:$P$200,"移管")=N33,"移管",IF(COUNTIFS('業務'!$M$4:$M$200,A33,'業務'!$P$4:$P$200,"移管")&gt;0,"一部",IF(COUNTIFS('業務'!$M$4:$M$200,A33,'業務'!$P$4:$P$200,"対象外")+COUNTIFS('業務'!$M$4:$M$200,A33,'業務'!$P$4:$P$200,"留保")=N33,IF(COUNTIFS('業務'!$M$4:$M$200,A33,'業務'!$P$4:$P$200,"留保")&gt;0,"留保","対象外"),"判定保留")))))</f>
        <v/>
      </c>
    </row>
    <row r="34">
      <c r="A34" s="17" t="n"/>
      <c r="B34" s="17" t="n"/>
      <c r="C34" s="17" t="n"/>
      <c r="D34" s="41">
        <f>IF(C34="","",IFERROR(INDEX('予算シート'!$B:$B,MATCH(C34,'予算シート'!$A:$A,0)),"案件が未登録"))</f>
        <v/>
      </c>
      <c r="E34" s="17" t="n"/>
      <c r="F34" s="17" t="n"/>
      <c r="G34" s="17" t="n"/>
      <c r="H34" s="29" t="n"/>
      <c r="I34" s="29" t="n"/>
      <c r="J34" s="17" t="n"/>
      <c r="K34" s="20" t="n"/>
      <c r="L34" s="41">
        <f>IF(OR(I34="",K34=""),"",EDATE(I34,-K34))</f>
        <v/>
      </c>
      <c r="M34" s="18" t="n"/>
      <c r="N34" s="45">
        <f>IF(A34="","",COUNTIF('業務'!$M$4:$M$200,A34))</f>
        <v/>
      </c>
      <c r="O34" s="41">
        <f>IF(A34="","",IF(N34=0,"対象外",IF(COUNTIFS('業務'!$M$4:$M$200,A34,'業務'!$P$4:$P$200,"移管")=N34,"移管",IF(COUNTIFS('業務'!$M$4:$M$200,A34,'業務'!$P$4:$P$200,"移管")&gt;0,"一部",IF(COUNTIFS('業務'!$M$4:$M$200,A34,'業務'!$P$4:$P$200,"対象外")+COUNTIFS('業務'!$M$4:$M$200,A34,'業務'!$P$4:$P$200,"留保")=N34,IF(COUNTIFS('業務'!$M$4:$M$200,A34,'業務'!$P$4:$P$200,"留保")&gt;0,"留保","対象外"),"判定保留")))))</f>
        <v/>
      </c>
    </row>
    <row r="35">
      <c r="A35" s="17" t="n"/>
      <c r="B35" s="17" t="n"/>
      <c r="C35" s="17" t="n"/>
      <c r="D35" s="41">
        <f>IF(C35="","",IFERROR(INDEX('予算シート'!$B:$B,MATCH(C35,'予算シート'!$A:$A,0)),"案件が未登録"))</f>
        <v/>
      </c>
      <c r="E35" s="17" t="n"/>
      <c r="F35" s="17" t="n"/>
      <c r="G35" s="17" t="n"/>
      <c r="H35" s="29" t="n"/>
      <c r="I35" s="29" t="n"/>
      <c r="J35" s="17" t="n"/>
      <c r="K35" s="20" t="n"/>
      <c r="L35" s="41">
        <f>IF(OR(I35="",K35=""),"",EDATE(I35,-K35))</f>
        <v/>
      </c>
      <c r="M35" s="18" t="n"/>
      <c r="N35" s="45">
        <f>IF(A35="","",COUNTIF('業務'!$M$4:$M$200,A35))</f>
        <v/>
      </c>
      <c r="O35" s="41">
        <f>IF(A35="","",IF(N35=0,"対象外",IF(COUNTIFS('業務'!$M$4:$M$200,A35,'業務'!$P$4:$P$200,"移管")=N35,"移管",IF(COUNTIFS('業務'!$M$4:$M$200,A35,'業務'!$P$4:$P$200,"移管")&gt;0,"一部",IF(COUNTIFS('業務'!$M$4:$M$200,A35,'業務'!$P$4:$P$200,"対象外")+COUNTIFS('業務'!$M$4:$M$200,A35,'業務'!$P$4:$P$200,"留保")=N35,IF(COUNTIFS('業務'!$M$4:$M$200,A35,'業務'!$P$4:$P$200,"留保")&gt;0,"留保","対象外"),"判定保留")))))</f>
        <v/>
      </c>
    </row>
    <row r="36">
      <c r="A36" s="17" t="n"/>
      <c r="B36" s="17" t="n"/>
      <c r="C36" s="17" t="n"/>
      <c r="D36" s="41">
        <f>IF(C36="","",IFERROR(INDEX('予算シート'!$B:$B,MATCH(C36,'予算シート'!$A:$A,0)),"案件が未登録"))</f>
        <v/>
      </c>
      <c r="E36" s="17" t="n"/>
      <c r="F36" s="17" t="n"/>
      <c r="G36" s="17" t="n"/>
      <c r="H36" s="29" t="n"/>
      <c r="I36" s="29" t="n"/>
      <c r="J36" s="17" t="n"/>
      <c r="K36" s="20" t="n"/>
      <c r="L36" s="41">
        <f>IF(OR(I36="",K36=""),"",EDATE(I36,-K36))</f>
        <v/>
      </c>
      <c r="M36" s="18" t="n"/>
      <c r="N36" s="45">
        <f>IF(A36="","",COUNTIF('業務'!$M$4:$M$200,A36))</f>
        <v/>
      </c>
      <c r="O36" s="41">
        <f>IF(A36="","",IF(N36=0,"対象外",IF(COUNTIFS('業務'!$M$4:$M$200,A36,'業務'!$P$4:$P$200,"移管")=N36,"移管",IF(COUNTIFS('業務'!$M$4:$M$200,A36,'業務'!$P$4:$P$200,"移管")&gt;0,"一部",IF(COUNTIFS('業務'!$M$4:$M$200,A36,'業務'!$P$4:$P$200,"対象外")+COUNTIFS('業務'!$M$4:$M$200,A36,'業務'!$P$4:$P$200,"留保")=N36,IF(COUNTIFS('業務'!$M$4:$M$200,A36,'業務'!$P$4:$P$200,"留保")&gt;0,"留保","対象外"),"判定保留")))))</f>
        <v/>
      </c>
    </row>
    <row r="37">
      <c r="A37" s="17" t="n"/>
      <c r="B37" s="17" t="n"/>
      <c r="C37" s="17" t="n"/>
      <c r="D37" s="41">
        <f>IF(C37="","",IFERROR(INDEX('予算シート'!$B:$B,MATCH(C37,'予算シート'!$A:$A,0)),"案件が未登録"))</f>
        <v/>
      </c>
      <c r="E37" s="17" t="n"/>
      <c r="F37" s="17" t="n"/>
      <c r="G37" s="17" t="n"/>
      <c r="H37" s="29" t="n"/>
      <c r="I37" s="29" t="n"/>
      <c r="J37" s="17" t="n"/>
      <c r="K37" s="20" t="n"/>
      <c r="L37" s="41">
        <f>IF(OR(I37="",K37=""),"",EDATE(I37,-K37))</f>
        <v/>
      </c>
      <c r="M37" s="18" t="n"/>
      <c r="N37" s="45">
        <f>IF(A37="","",COUNTIF('業務'!$M$4:$M$200,A37))</f>
        <v/>
      </c>
      <c r="O37" s="41">
        <f>IF(A37="","",IF(N37=0,"対象外",IF(COUNTIFS('業務'!$M$4:$M$200,A37,'業務'!$P$4:$P$200,"移管")=N37,"移管",IF(COUNTIFS('業務'!$M$4:$M$200,A37,'業務'!$P$4:$P$200,"移管")&gt;0,"一部",IF(COUNTIFS('業務'!$M$4:$M$200,A37,'業務'!$P$4:$P$200,"対象外")+COUNTIFS('業務'!$M$4:$M$200,A37,'業務'!$P$4:$P$200,"留保")=N37,IF(COUNTIFS('業務'!$M$4:$M$200,A37,'業務'!$P$4:$P$200,"留保")&gt;0,"留保","対象外"),"判定保留")))))</f>
        <v/>
      </c>
    </row>
    <row r="38">
      <c r="A38" s="17" t="n"/>
      <c r="B38" s="17" t="n"/>
      <c r="C38" s="17" t="n"/>
      <c r="D38" s="41">
        <f>IF(C38="","",IFERROR(INDEX('予算シート'!$B:$B,MATCH(C38,'予算シート'!$A:$A,0)),"案件が未登録"))</f>
        <v/>
      </c>
      <c r="E38" s="17" t="n"/>
      <c r="F38" s="17" t="n"/>
      <c r="G38" s="17" t="n"/>
      <c r="H38" s="29" t="n"/>
      <c r="I38" s="29" t="n"/>
      <c r="J38" s="17" t="n"/>
      <c r="K38" s="20" t="n"/>
      <c r="L38" s="41">
        <f>IF(OR(I38="",K38=""),"",EDATE(I38,-K38))</f>
        <v/>
      </c>
      <c r="M38" s="18" t="n"/>
      <c r="N38" s="45">
        <f>IF(A38="","",COUNTIF('業務'!$M$4:$M$200,A38))</f>
        <v/>
      </c>
      <c r="O38" s="41">
        <f>IF(A38="","",IF(N38=0,"対象外",IF(COUNTIFS('業務'!$M$4:$M$200,A38,'業務'!$P$4:$P$200,"移管")=N38,"移管",IF(COUNTIFS('業務'!$M$4:$M$200,A38,'業務'!$P$4:$P$200,"移管")&gt;0,"一部",IF(COUNTIFS('業務'!$M$4:$M$200,A38,'業務'!$P$4:$P$200,"対象外")+COUNTIFS('業務'!$M$4:$M$200,A38,'業務'!$P$4:$P$200,"留保")=N38,IF(COUNTIFS('業務'!$M$4:$M$200,A38,'業務'!$P$4:$P$200,"留保")&gt;0,"留保","対象外"),"判定保留")))))</f>
        <v/>
      </c>
    </row>
    <row r="39">
      <c r="A39" s="17" t="n"/>
      <c r="B39" s="17" t="n"/>
      <c r="C39" s="17" t="n"/>
      <c r="D39" s="41">
        <f>IF(C39="","",IFERROR(INDEX('予算シート'!$B:$B,MATCH(C39,'予算シート'!$A:$A,0)),"案件が未登録"))</f>
        <v/>
      </c>
      <c r="E39" s="17" t="n"/>
      <c r="F39" s="17" t="n"/>
      <c r="G39" s="17" t="n"/>
      <c r="H39" s="29" t="n"/>
      <c r="I39" s="29" t="n"/>
      <c r="J39" s="17" t="n"/>
      <c r="K39" s="20" t="n"/>
      <c r="L39" s="41">
        <f>IF(OR(I39="",K39=""),"",EDATE(I39,-K39))</f>
        <v/>
      </c>
      <c r="M39" s="18" t="n"/>
      <c r="N39" s="45">
        <f>IF(A39="","",COUNTIF('業務'!$M$4:$M$200,A39))</f>
        <v/>
      </c>
      <c r="O39" s="41">
        <f>IF(A39="","",IF(N39=0,"対象外",IF(COUNTIFS('業務'!$M$4:$M$200,A39,'業務'!$P$4:$P$200,"移管")=N39,"移管",IF(COUNTIFS('業務'!$M$4:$M$200,A39,'業務'!$P$4:$P$200,"移管")&gt;0,"一部",IF(COUNTIFS('業務'!$M$4:$M$200,A39,'業務'!$P$4:$P$200,"対象外")+COUNTIFS('業務'!$M$4:$M$200,A39,'業務'!$P$4:$P$200,"留保")=N39,IF(COUNTIFS('業務'!$M$4:$M$200,A39,'業務'!$P$4:$P$200,"留保")&gt;0,"留保","対象外"),"判定保留")))))</f>
        <v/>
      </c>
    </row>
    <row r="40">
      <c r="A40" s="17" t="n"/>
      <c r="B40" s="17" t="n"/>
      <c r="C40" s="17" t="n"/>
      <c r="D40" s="41">
        <f>IF(C40="","",IFERROR(INDEX('予算シート'!$B:$B,MATCH(C40,'予算シート'!$A:$A,0)),"案件が未登録"))</f>
        <v/>
      </c>
      <c r="E40" s="17" t="n"/>
      <c r="F40" s="17" t="n"/>
      <c r="G40" s="17" t="n"/>
      <c r="H40" s="29" t="n"/>
      <c r="I40" s="29" t="n"/>
      <c r="J40" s="17" t="n"/>
      <c r="K40" s="20" t="n"/>
      <c r="L40" s="41">
        <f>IF(OR(I40="",K40=""),"",EDATE(I40,-K40))</f>
        <v/>
      </c>
      <c r="M40" s="18" t="n"/>
      <c r="N40" s="45">
        <f>IF(A40="","",COUNTIF('業務'!$M$4:$M$200,A40))</f>
        <v/>
      </c>
      <c r="O40" s="41">
        <f>IF(A40="","",IF(N40=0,"対象外",IF(COUNTIFS('業務'!$M$4:$M$200,A40,'業務'!$P$4:$P$200,"移管")=N40,"移管",IF(COUNTIFS('業務'!$M$4:$M$200,A40,'業務'!$P$4:$P$200,"移管")&gt;0,"一部",IF(COUNTIFS('業務'!$M$4:$M$200,A40,'業務'!$P$4:$P$200,"対象外")+COUNTIFS('業務'!$M$4:$M$200,A40,'業務'!$P$4:$P$200,"留保")=N40,IF(COUNTIFS('業務'!$M$4:$M$200,A40,'業務'!$P$4:$P$200,"留保")&gt;0,"留保","対象外"),"判定保留")))))</f>
        <v/>
      </c>
    </row>
    <row r="41">
      <c r="A41" s="17" t="n"/>
      <c r="B41" s="17" t="n"/>
      <c r="C41" s="17" t="n"/>
      <c r="D41" s="41">
        <f>IF(C41="","",IFERROR(INDEX('予算シート'!$B:$B,MATCH(C41,'予算シート'!$A:$A,0)),"案件が未登録"))</f>
        <v/>
      </c>
      <c r="E41" s="17" t="n"/>
      <c r="F41" s="17" t="n"/>
      <c r="G41" s="17" t="n"/>
      <c r="H41" s="29" t="n"/>
      <c r="I41" s="29" t="n"/>
      <c r="J41" s="17" t="n"/>
      <c r="K41" s="20" t="n"/>
      <c r="L41" s="41">
        <f>IF(OR(I41="",K41=""),"",EDATE(I41,-K41))</f>
        <v/>
      </c>
      <c r="M41" s="18" t="n"/>
      <c r="N41" s="45">
        <f>IF(A41="","",COUNTIF('業務'!$M$4:$M$200,A41))</f>
        <v/>
      </c>
      <c r="O41" s="41">
        <f>IF(A41="","",IF(N41=0,"対象外",IF(COUNTIFS('業務'!$M$4:$M$200,A41,'業務'!$P$4:$P$200,"移管")=N41,"移管",IF(COUNTIFS('業務'!$M$4:$M$200,A41,'業務'!$P$4:$P$200,"移管")&gt;0,"一部",IF(COUNTIFS('業務'!$M$4:$M$200,A41,'業務'!$P$4:$P$200,"対象外")+COUNTIFS('業務'!$M$4:$M$200,A41,'業務'!$P$4:$P$200,"留保")=N41,IF(COUNTIFS('業務'!$M$4:$M$200,A41,'業務'!$P$4:$P$200,"留保")&gt;0,"留保","対象外"),"判定保留")))))</f>
        <v/>
      </c>
    </row>
    <row r="42">
      <c r="A42" s="17" t="n"/>
      <c r="B42" s="17" t="n"/>
      <c r="C42" s="17" t="n"/>
      <c r="D42" s="41">
        <f>IF(C42="","",IFERROR(INDEX('予算シート'!$B:$B,MATCH(C42,'予算シート'!$A:$A,0)),"案件が未登録"))</f>
        <v/>
      </c>
      <c r="E42" s="17" t="n"/>
      <c r="F42" s="17" t="n"/>
      <c r="G42" s="17" t="n"/>
      <c r="H42" s="29" t="n"/>
      <c r="I42" s="29" t="n"/>
      <c r="J42" s="17" t="n"/>
      <c r="K42" s="20" t="n"/>
      <c r="L42" s="41">
        <f>IF(OR(I42="",K42=""),"",EDATE(I42,-K42))</f>
        <v/>
      </c>
      <c r="M42" s="18" t="n"/>
      <c r="N42" s="45">
        <f>IF(A42="","",COUNTIF('業務'!$M$4:$M$200,A42))</f>
        <v/>
      </c>
      <c r="O42" s="41">
        <f>IF(A42="","",IF(N42=0,"対象外",IF(COUNTIFS('業務'!$M$4:$M$200,A42,'業務'!$P$4:$P$200,"移管")=N42,"移管",IF(COUNTIFS('業務'!$M$4:$M$200,A42,'業務'!$P$4:$P$200,"移管")&gt;0,"一部",IF(COUNTIFS('業務'!$M$4:$M$200,A42,'業務'!$P$4:$P$200,"対象外")+COUNTIFS('業務'!$M$4:$M$200,A42,'業務'!$P$4:$P$200,"留保")=N42,IF(COUNTIFS('業務'!$M$4:$M$200,A42,'業務'!$P$4:$P$200,"留保")&gt;0,"留保","対象外"),"判定保留")))))</f>
        <v/>
      </c>
    </row>
    <row r="43">
      <c r="A43" s="17" t="n"/>
      <c r="B43" s="17" t="n"/>
      <c r="C43" s="17" t="n"/>
      <c r="D43" s="41">
        <f>IF(C43="","",IFERROR(INDEX('予算シート'!$B:$B,MATCH(C43,'予算シート'!$A:$A,0)),"案件が未登録"))</f>
        <v/>
      </c>
      <c r="E43" s="17" t="n"/>
      <c r="F43" s="17" t="n"/>
      <c r="G43" s="17" t="n"/>
      <c r="H43" s="29" t="n"/>
      <c r="I43" s="29" t="n"/>
      <c r="J43" s="17" t="n"/>
      <c r="K43" s="20" t="n"/>
      <c r="L43" s="41">
        <f>IF(OR(I43="",K43=""),"",EDATE(I43,-K43))</f>
        <v/>
      </c>
      <c r="M43" s="18" t="n"/>
      <c r="N43" s="45">
        <f>IF(A43="","",COUNTIF('業務'!$M$4:$M$200,A43))</f>
        <v/>
      </c>
      <c r="O43" s="41">
        <f>IF(A43="","",IF(N43=0,"対象外",IF(COUNTIFS('業務'!$M$4:$M$200,A43,'業務'!$P$4:$P$200,"移管")=N43,"移管",IF(COUNTIFS('業務'!$M$4:$M$200,A43,'業務'!$P$4:$P$200,"移管")&gt;0,"一部",IF(COUNTIFS('業務'!$M$4:$M$200,A43,'業務'!$P$4:$P$200,"対象外")+COUNTIFS('業務'!$M$4:$M$200,A43,'業務'!$P$4:$P$200,"留保")=N43,IF(COUNTIFS('業務'!$M$4:$M$200,A43,'業務'!$P$4:$P$200,"留保")&gt;0,"留保","対象外"),"判定保留")))))</f>
        <v/>
      </c>
    </row>
    <row r="44">
      <c r="A44" s="17" t="n"/>
      <c r="B44" s="17" t="n"/>
      <c r="C44" s="17" t="n"/>
      <c r="D44" s="41">
        <f>IF(C44="","",IFERROR(INDEX('予算シート'!$B:$B,MATCH(C44,'予算シート'!$A:$A,0)),"案件が未登録"))</f>
        <v/>
      </c>
      <c r="E44" s="17" t="n"/>
      <c r="F44" s="17" t="n"/>
      <c r="G44" s="17" t="n"/>
      <c r="H44" s="29" t="n"/>
      <c r="I44" s="29" t="n"/>
      <c r="J44" s="17" t="n"/>
      <c r="K44" s="20" t="n"/>
      <c r="L44" s="41">
        <f>IF(OR(I44="",K44=""),"",EDATE(I44,-K44))</f>
        <v/>
      </c>
      <c r="M44" s="18" t="n"/>
      <c r="N44" s="45">
        <f>IF(A44="","",COUNTIF('業務'!$M$4:$M$200,A44))</f>
        <v/>
      </c>
      <c r="O44" s="41">
        <f>IF(A44="","",IF(N44=0,"対象外",IF(COUNTIFS('業務'!$M$4:$M$200,A44,'業務'!$P$4:$P$200,"移管")=N44,"移管",IF(COUNTIFS('業務'!$M$4:$M$200,A44,'業務'!$P$4:$P$200,"移管")&gt;0,"一部",IF(COUNTIFS('業務'!$M$4:$M$200,A44,'業務'!$P$4:$P$200,"対象外")+COUNTIFS('業務'!$M$4:$M$200,A44,'業務'!$P$4:$P$200,"留保")=N44,IF(COUNTIFS('業務'!$M$4:$M$200,A44,'業務'!$P$4:$P$200,"留保")&gt;0,"留保","対象外"),"判定保留")))))</f>
        <v/>
      </c>
    </row>
    <row r="45">
      <c r="A45" s="17" t="n"/>
      <c r="B45" s="17" t="n"/>
      <c r="C45" s="17" t="n"/>
      <c r="D45" s="41">
        <f>IF(C45="","",IFERROR(INDEX('予算シート'!$B:$B,MATCH(C45,'予算シート'!$A:$A,0)),"案件が未登録"))</f>
        <v/>
      </c>
      <c r="E45" s="17" t="n"/>
      <c r="F45" s="17" t="n"/>
      <c r="G45" s="17" t="n"/>
      <c r="H45" s="29" t="n"/>
      <c r="I45" s="29" t="n"/>
      <c r="J45" s="17" t="n"/>
      <c r="K45" s="20" t="n"/>
      <c r="L45" s="41">
        <f>IF(OR(I45="",K45=""),"",EDATE(I45,-K45))</f>
        <v/>
      </c>
      <c r="M45" s="18" t="n"/>
      <c r="N45" s="45">
        <f>IF(A45="","",COUNTIF('業務'!$M$4:$M$200,A45))</f>
        <v/>
      </c>
      <c r="O45" s="41">
        <f>IF(A45="","",IF(N45=0,"対象外",IF(COUNTIFS('業務'!$M$4:$M$200,A45,'業務'!$P$4:$P$200,"移管")=N45,"移管",IF(COUNTIFS('業務'!$M$4:$M$200,A45,'業務'!$P$4:$P$200,"移管")&gt;0,"一部",IF(COUNTIFS('業務'!$M$4:$M$200,A45,'業務'!$P$4:$P$200,"対象外")+COUNTIFS('業務'!$M$4:$M$200,A45,'業務'!$P$4:$P$200,"留保")=N45,IF(COUNTIFS('業務'!$M$4:$M$200,A45,'業務'!$P$4:$P$200,"留保")&gt;0,"留保","対象外"),"判定保留")))))</f>
        <v/>
      </c>
    </row>
    <row r="46">
      <c r="A46" s="17" t="n"/>
      <c r="B46" s="17" t="n"/>
      <c r="C46" s="17" t="n"/>
      <c r="D46" s="41">
        <f>IF(C46="","",IFERROR(INDEX('予算シート'!$B:$B,MATCH(C46,'予算シート'!$A:$A,0)),"案件が未登録"))</f>
        <v/>
      </c>
      <c r="E46" s="17" t="n"/>
      <c r="F46" s="17" t="n"/>
      <c r="G46" s="17" t="n"/>
      <c r="H46" s="29" t="n"/>
      <c r="I46" s="29" t="n"/>
      <c r="J46" s="17" t="n"/>
      <c r="K46" s="20" t="n"/>
      <c r="L46" s="41">
        <f>IF(OR(I46="",K46=""),"",EDATE(I46,-K46))</f>
        <v/>
      </c>
      <c r="M46" s="18" t="n"/>
      <c r="N46" s="45">
        <f>IF(A46="","",COUNTIF('業務'!$M$4:$M$200,A46))</f>
        <v/>
      </c>
      <c r="O46" s="41">
        <f>IF(A46="","",IF(N46=0,"対象外",IF(COUNTIFS('業務'!$M$4:$M$200,A46,'業務'!$P$4:$P$200,"移管")=N46,"移管",IF(COUNTIFS('業務'!$M$4:$M$200,A46,'業務'!$P$4:$P$200,"移管")&gt;0,"一部",IF(COUNTIFS('業務'!$M$4:$M$200,A46,'業務'!$P$4:$P$200,"対象外")+COUNTIFS('業務'!$M$4:$M$200,A46,'業務'!$P$4:$P$200,"留保")=N46,IF(COUNTIFS('業務'!$M$4:$M$200,A46,'業務'!$P$4:$P$200,"留保")&gt;0,"留保","対象外"),"判定保留")))))</f>
        <v/>
      </c>
    </row>
    <row r="47">
      <c r="A47" s="17" t="n"/>
      <c r="B47" s="17" t="n"/>
      <c r="C47" s="17" t="n"/>
      <c r="D47" s="41">
        <f>IF(C47="","",IFERROR(INDEX('予算シート'!$B:$B,MATCH(C47,'予算シート'!$A:$A,0)),"案件が未登録"))</f>
        <v/>
      </c>
      <c r="E47" s="17" t="n"/>
      <c r="F47" s="17" t="n"/>
      <c r="G47" s="17" t="n"/>
      <c r="H47" s="29" t="n"/>
      <c r="I47" s="29" t="n"/>
      <c r="J47" s="17" t="n"/>
      <c r="K47" s="20" t="n"/>
      <c r="L47" s="41">
        <f>IF(OR(I47="",K47=""),"",EDATE(I47,-K47))</f>
        <v/>
      </c>
      <c r="M47" s="18" t="n"/>
      <c r="N47" s="45">
        <f>IF(A47="","",COUNTIF('業務'!$M$4:$M$200,A47))</f>
        <v/>
      </c>
      <c r="O47" s="41">
        <f>IF(A47="","",IF(N47=0,"対象外",IF(COUNTIFS('業務'!$M$4:$M$200,A47,'業務'!$P$4:$P$200,"移管")=N47,"移管",IF(COUNTIFS('業務'!$M$4:$M$200,A47,'業務'!$P$4:$P$200,"移管")&gt;0,"一部",IF(COUNTIFS('業務'!$M$4:$M$200,A47,'業務'!$P$4:$P$200,"対象外")+COUNTIFS('業務'!$M$4:$M$200,A47,'業務'!$P$4:$P$200,"留保")=N47,IF(COUNTIFS('業務'!$M$4:$M$200,A47,'業務'!$P$4:$P$200,"留保")&gt;0,"留保","対象外"),"判定保留")))))</f>
        <v/>
      </c>
    </row>
    <row r="48">
      <c r="A48" s="17" t="n"/>
      <c r="B48" s="17" t="n"/>
      <c r="C48" s="17" t="n"/>
      <c r="D48" s="41">
        <f>IF(C48="","",IFERROR(INDEX('予算シート'!$B:$B,MATCH(C48,'予算シート'!$A:$A,0)),"案件が未登録"))</f>
        <v/>
      </c>
      <c r="E48" s="17" t="n"/>
      <c r="F48" s="17" t="n"/>
      <c r="G48" s="17" t="n"/>
      <c r="H48" s="29" t="n"/>
      <c r="I48" s="29" t="n"/>
      <c r="J48" s="17" t="n"/>
      <c r="K48" s="20" t="n"/>
      <c r="L48" s="41">
        <f>IF(OR(I48="",K48=""),"",EDATE(I48,-K48))</f>
        <v/>
      </c>
      <c r="M48" s="18" t="n"/>
      <c r="N48" s="45">
        <f>IF(A48="","",COUNTIF('業務'!$M$4:$M$200,A48))</f>
        <v/>
      </c>
      <c r="O48" s="41">
        <f>IF(A48="","",IF(N48=0,"対象外",IF(COUNTIFS('業務'!$M$4:$M$200,A48,'業務'!$P$4:$P$200,"移管")=N48,"移管",IF(COUNTIFS('業務'!$M$4:$M$200,A48,'業務'!$P$4:$P$200,"移管")&gt;0,"一部",IF(COUNTIFS('業務'!$M$4:$M$200,A48,'業務'!$P$4:$P$200,"対象外")+COUNTIFS('業務'!$M$4:$M$200,A48,'業務'!$P$4:$P$200,"留保")=N48,IF(COUNTIFS('業務'!$M$4:$M$200,A48,'業務'!$P$4:$P$200,"留保")&gt;0,"留保","対象外"),"判定保留")))))</f>
        <v/>
      </c>
    </row>
    <row r="49">
      <c r="A49" s="17" t="n"/>
      <c r="B49" s="17" t="n"/>
      <c r="C49" s="17" t="n"/>
      <c r="D49" s="41">
        <f>IF(C49="","",IFERROR(INDEX('予算シート'!$B:$B,MATCH(C49,'予算シート'!$A:$A,0)),"案件が未登録"))</f>
        <v/>
      </c>
      <c r="E49" s="17" t="n"/>
      <c r="F49" s="17" t="n"/>
      <c r="G49" s="17" t="n"/>
      <c r="H49" s="29" t="n"/>
      <c r="I49" s="29" t="n"/>
      <c r="J49" s="17" t="n"/>
      <c r="K49" s="20" t="n"/>
      <c r="L49" s="41">
        <f>IF(OR(I49="",K49=""),"",EDATE(I49,-K49))</f>
        <v/>
      </c>
      <c r="M49" s="18" t="n"/>
      <c r="N49" s="45">
        <f>IF(A49="","",COUNTIF('業務'!$M$4:$M$200,A49))</f>
        <v/>
      </c>
      <c r="O49" s="41">
        <f>IF(A49="","",IF(N49=0,"対象外",IF(COUNTIFS('業務'!$M$4:$M$200,A49,'業務'!$P$4:$P$200,"移管")=N49,"移管",IF(COUNTIFS('業務'!$M$4:$M$200,A49,'業務'!$P$4:$P$200,"移管")&gt;0,"一部",IF(COUNTIFS('業務'!$M$4:$M$200,A49,'業務'!$P$4:$P$200,"対象外")+COUNTIFS('業務'!$M$4:$M$200,A49,'業務'!$P$4:$P$200,"留保")=N49,IF(COUNTIFS('業務'!$M$4:$M$200,A49,'業務'!$P$4:$P$200,"留保")&gt;0,"留保","対象外"),"判定保留")))))</f>
        <v/>
      </c>
    </row>
    <row r="50">
      <c r="A50" s="17" t="n"/>
      <c r="B50" s="17" t="n"/>
      <c r="C50" s="17" t="n"/>
      <c r="D50" s="41">
        <f>IF(C50="","",IFERROR(INDEX('予算シート'!$B:$B,MATCH(C50,'予算シート'!$A:$A,0)),"案件が未登録"))</f>
        <v/>
      </c>
      <c r="E50" s="17" t="n"/>
      <c r="F50" s="17" t="n"/>
      <c r="G50" s="17" t="n"/>
      <c r="H50" s="29" t="n"/>
      <c r="I50" s="29" t="n"/>
      <c r="J50" s="17" t="n"/>
      <c r="K50" s="20" t="n"/>
      <c r="L50" s="41">
        <f>IF(OR(I50="",K50=""),"",EDATE(I50,-K50))</f>
        <v/>
      </c>
      <c r="M50" s="18" t="n"/>
      <c r="N50" s="45">
        <f>IF(A50="","",COUNTIF('業務'!$M$4:$M$200,A50))</f>
        <v/>
      </c>
      <c r="O50" s="41">
        <f>IF(A50="","",IF(N50=0,"対象外",IF(COUNTIFS('業務'!$M$4:$M$200,A50,'業務'!$P$4:$P$200,"移管")=N50,"移管",IF(COUNTIFS('業務'!$M$4:$M$200,A50,'業務'!$P$4:$P$200,"移管")&gt;0,"一部",IF(COUNTIFS('業務'!$M$4:$M$200,A50,'業務'!$P$4:$P$200,"対象外")+COUNTIFS('業務'!$M$4:$M$200,A50,'業務'!$P$4:$P$200,"留保")=N50,IF(COUNTIFS('業務'!$M$4:$M$200,A50,'業務'!$P$4:$P$200,"留保")&gt;0,"留保","対象外"),"判定保留")))))</f>
        <v/>
      </c>
    </row>
    <row r="51">
      <c r="A51" s="17" t="n"/>
      <c r="B51" s="17" t="n"/>
      <c r="C51" s="17" t="n"/>
      <c r="D51" s="41">
        <f>IF(C51="","",IFERROR(INDEX('予算シート'!$B:$B,MATCH(C51,'予算シート'!$A:$A,0)),"案件が未登録"))</f>
        <v/>
      </c>
      <c r="E51" s="17" t="n"/>
      <c r="F51" s="17" t="n"/>
      <c r="G51" s="17" t="n"/>
      <c r="H51" s="29" t="n"/>
      <c r="I51" s="29" t="n"/>
      <c r="J51" s="17" t="n"/>
      <c r="K51" s="20" t="n"/>
      <c r="L51" s="41">
        <f>IF(OR(I51="",K51=""),"",EDATE(I51,-K51))</f>
        <v/>
      </c>
      <c r="M51" s="18" t="n"/>
      <c r="N51" s="45">
        <f>IF(A51="","",COUNTIF('業務'!$M$4:$M$200,A51))</f>
        <v/>
      </c>
      <c r="O51" s="41">
        <f>IF(A51="","",IF(N51=0,"対象外",IF(COUNTIFS('業務'!$M$4:$M$200,A51,'業務'!$P$4:$P$200,"移管")=N51,"移管",IF(COUNTIFS('業務'!$M$4:$M$200,A51,'業務'!$P$4:$P$200,"移管")&gt;0,"一部",IF(COUNTIFS('業務'!$M$4:$M$200,A51,'業務'!$P$4:$P$200,"対象外")+COUNTIFS('業務'!$M$4:$M$200,A51,'業務'!$P$4:$P$200,"留保")=N51,IF(COUNTIFS('業務'!$M$4:$M$200,A51,'業務'!$P$4:$P$200,"留保")&gt;0,"留保","対象外"),"判定保留")))))</f>
        <v/>
      </c>
    </row>
    <row r="52">
      <c r="A52" s="17" t="n"/>
      <c r="B52" s="17" t="n"/>
      <c r="C52" s="17" t="n"/>
      <c r="D52" s="41">
        <f>IF(C52="","",IFERROR(INDEX('予算シート'!$B:$B,MATCH(C52,'予算シート'!$A:$A,0)),"案件が未登録"))</f>
        <v/>
      </c>
      <c r="E52" s="17" t="n"/>
      <c r="F52" s="17" t="n"/>
      <c r="G52" s="17" t="n"/>
      <c r="H52" s="29" t="n"/>
      <c r="I52" s="29" t="n"/>
      <c r="J52" s="17" t="n"/>
      <c r="K52" s="20" t="n"/>
      <c r="L52" s="41">
        <f>IF(OR(I52="",K52=""),"",EDATE(I52,-K52))</f>
        <v/>
      </c>
      <c r="M52" s="18" t="n"/>
      <c r="N52" s="45">
        <f>IF(A52="","",COUNTIF('業務'!$M$4:$M$200,A52))</f>
        <v/>
      </c>
      <c r="O52" s="41">
        <f>IF(A52="","",IF(N52=0,"対象外",IF(COUNTIFS('業務'!$M$4:$M$200,A52,'業務'!$P$4:$P$200,"移管")=N52,"移管",IF(COUNTIFS('業務'!$M$4:$M$200,A52,'業務'!$P$4:$P$200,"移管")&gt;0,"一部",IF(COUNTIFS('業務'!$M$4:$M$200,A52,'業務'!$P$4:$P$200,"対象外")+COUNTIFS('業務'!$M$4:$M$200,A52,'業務'!$P$4:$P$200,"留保")=N52,IF(COUNTIFS('業務'!$M$4:$M$200,A52,'業務'!$P$4:$P$200,"留保")&gt;0,"留保","対象外"),"判定保留")))))</f>
        <v/>
      </c>
    </row>
    <row r="53">
      <c r="A53" s="17" t="n"/>
      <c r="B53" s="17" t="n"/>
      <c r="C53" s="17" t="n"/>
      <c r="D53" s="41">
        <f>IF(C53="","",IFERROR(INDEX('予算シート'!$B:$B,MATCH(C53,'予算シート'!$A:$A,0)),"案件が未登録"))</f>
        <v/>
      </c>
      <c r="E53" s="17" t="n"/>
      <c r="F53" s="17" t="n"/>
      <c r="G53" s="17" t="n"/>
      <c r="H53" s="29" t="n"/>
      <c r="I53" s="29" t="n"/>
      <c r="J53" s="17" t="n"/>
      <c r="K53" s="20" t="n"/>
      <c r="L53" s="41">
        <f>IF(OR(I53="",K53=""),"",EDATE(I53,-K53))</f>
        <v/>
      </c>
      <c r="M53" s="18" t="n"/>
      <c r="N53" s="45">
        <f>IF(A53="","",COUNTIF('業務'!$M$4:$M$200,A53))</f>
        <v/>
      </c>
      <c r="O53" s="41">
        <f>IF(A53="","",IF(N53=0,"対象外",IF(COUNTIFS('業務'!$M$4:$M$200,A53,'業務'!$P$4:$P$200,"移管")=N53,"移管",IF(COUNTIFS('業務'!$M$4:$M$200,A53,'業務'!$P$4:$P$200,"移管")&gt;0,"一部",IF(COUNTIFS('業務'!$M$4:$M$200,A53,'業務'!$P$4:$P$200,"対象外")+COUNTIFS('業務'!$M$4:$M$200,A53,'業務'!$P$4:$P$200,"留保")=N53,IF(COUNTIFS('業務'!$M$4:$M$200,A53,'業務'!$P$4:$P$200,"留保")&gt;0,"留保","対象外"),"判定保留")))))</f>
        <v/>
      </c>
    </row>
    <row r="54">
      <c r="A54" s="17" t="n"/>
      <c r="B54" s="17" t="n"/>
      <c r="C54" s="17" t="n"/>
      <c r="D54" s="41">
        <f>IF(C54="","",IFERROR(INDEX('予算シート'!$B:$B,MATCH(C54,'予算シート'!$A:$A,0)),"案件が未登録"))</f>
        <v/>
      </c>
      <c r="E54" s="17" t="n"/>
      <c r="F54" s="17" t="n"/>
      <c r="G54" s="17" t="n"/>
      <c r="H54" s="29" t="n"/>
      <c r="I54" s="29" t="n"/>
      <c r="J54" s="17" t="n"/>
      <c r="K54" s="20" t="n"/>
      <c r="L54" s="41">
        <f>IF(OR(I54="",K54=""),"",EDATE(I54,-K54))</f>
        <v/>
      </c>
      <c r="M54" s="18" t="n"/>
      <c r="N54" s="45">
        <f>IF(A54="","",COUNTIF('業務'!$M$4:$M$200,A54))</f>
        <v/>
      </c>
      <c r="O54" s="41">
        <f>IF(A54="","",IF(N54=0,"対象外",IF(COUNTIFS('業務'!$M$4:$M$200,A54,'業務'!$P$4:$P$200,"移管")=N54,"移管",IF(COUNTIFS('業務'!$M$4:$M$200,A54,'業務'!$P$4:$P$200,"移管")&gt;0,"一部",IF(COUNTIFS('業務'!$M$4:$M$200,A54,'業務'!$P$4:$P$200,"対象外")+COUNTIFS('業務'!$M$4:$M$200,A54,'業務'!$P$4:$P$200,"留保")=N54,IF(COUNTIFS('業務'!$M$4:$M$200,A54,'業務'!$P$4:$P$200,"留保")&gt;0,"留保","対象外"),"判定保留")))))</f>
        <v/>
      </c>
    </row>
    <row r="55">
      <c r="A55" s="17" t="n"/>
      <c r="B55" s="17" t="n"/>
      <c r="C55" s="17" t="n"/>
      <c r="D55" s="41">
        <f>IF(C55="","",IFERROR(INDEX('予算シート'!$B:$B,MATCH(C55,'予算シート'!$A:$A,0)),"案件が未登録"))</f>
        <v/>
      </c>
      <c r="E55" s="17" t="n"/>
      <c r="F55" s="17" t="n"/>
      <c r="G55" s="17" t="n"/>
      <c r="H55" s="29" t="n"/>
      <c r="I55" s="29" t="n"/>
      <c r="J55" s="17" t="n"/>
      <c r="K55" s="20" t="n"/>
      <c r="L55" s="41">
        <f>IF(OR(I55="",K55=""),"",EDATE(I55,-K55))</f>
        <v/>
      </c>
      <c r="M55" s="18" t="n"/>
      <c r="N55" s="45">
        <f>IF(A55="","",COUNTIF('業務'!$M$4:$M$200,A55))</f>
        <v/>
      </c>
      <c r="O55" s="41">
        <f>IF(A55="","",IF(N55=0,"対象外",IF(COUNTIFS('業務'!$M$4:$M$200,A55,'業務'!$P$4:$P$200,"移管")=N55,"移管",IF(COUNTIFS('業務'!$M$4:$M$200,A55,'業務'!$P$4:$P$200,"移管")&gt;0,"一部",IF(COUNTIFS('業務'!$M$4:$M$200,A55,'業務'!$P$4:$P$200,"対象外")+COUNTIFS('業務'!$M$4:$M$200,A55,'業務'!$P$4:$P$200,"留保")=N55,IF(COUNTIFS('業務'!$M$4:$M$200,A55,'業務'!$P$4:$P$200,"留保")&gt;0,"留保","対象外"),"判定保留")))))</f>
        <v/>
      </c>
    </row>
    <row r="56">
      <c r="A56" s="17" t="n"/>
      <c r="B56" s="17" t="n"/>
      <c r="C56" s="17" t="n"/>
      <c r="D56" s="41">
        <f>IF(C56="","",IFERROR(INDEX('予算シート'!$B:$B,MATCH(C56,'予算シート'!$A:$A,0)),"案件が未登録"))</f>
        <v/>
      </c>
      <c r="E56" s="17" t="n"/>
      <c r="F56" s="17" t="n"/>
      <c r="G56" s="17" t="n"/>
      <c r="H56" s="29" t="n"/>
      <c r="I56" s="29" t="n"/>
      <c r="J56" s="17" t="n"/>
      <c r="K56" s="20" t="n"/>
      <c r="L56" s="41">
        <f>IF(OR(I56="",K56=""),"",EDATE(I56,-K56))</f>
        <v/>
      </c>
      <c r="M56" s="18" t="n"/>
      <c r="N56" s="45">
        <f>IF(A56="","",COUNTIF('業務'!$M$4:$M$200,A56))</f>
        <v/>
      </c>
      <c r="O56" s="41">
        <f>IF(A56="","",IF(N56=0,"対象外",IF(COUNTIFS('業務'!$M$4:$M$200,A56,'業務'!$P$4:$P$200,"移管")=N56,"移管",IF(COUNTIFS('業務'!$M$4:$M$200,A56,'業務'!$P$4:$P$200,"移管")&gt;0,"一部",IF(COUNTIFS('業務'!$M$4:$M$200,A56,'業務'!$P$4:$P$200,"対象外")+COUNTIFS('業務'!$M$4:$M$200,A56,'業務'!$P$4:$P$200,"留保")=N56,IF(COUNTIFS('業務'!$M$4:$M$200,A56,'業務'!$P$4:$P$200,"留保")&gt;0,"留保","対象外"),"判定保留")))))</f>
        <v/>
      </c>
    </row>
    <row r="57">
      <c r="A57" s="17" t="n"/>
      <c r="B57" s="17" t="n"/>
      <c r="C57" s="17" t="n"/>
      <c r="D57" s="41">
        <f>IF(C57="","",IFERROR(INDEX('予算シート'!$B:$B,MATCH(C57,'予算シート'!$A:$A,0)),"案件が未登録"))</f>
        <v/>
      </c>
      <c r="E57" s="17" t="n"/>
      <c r="F57" s="17" t="n"/>
      <c r="G57" s="17" t="n"/>
      <c r="H57" s="29" t="n"/>
      <c r="I57" s="29" t="n"/>
      <c r="J57" s="17" t="n"/>
      <c r="K57" s="20" t="n"/>
      <c r="L57" s="41">
        <f>IF(OR(I57="",K57=""),"",EDATE(I57,-K57))</f>
        <v/>
      </c>
      <c r="M57" s="18" t="n"/>
      <c r="N57" s="45">
        <f>IF(A57="","",COUNTIF('業務'!$M$4:$M$200,A57))</f>
        <v/>
      </c>
      <c r="O57" s="41">
        <f>IF(A57="","",IF(N57=0,"対象外",IF(COUNTIFS('業務'!$M$4:$M$200,A57,'業務'!$P$4:$P$200,"移管")=N57,"移管",IF(COUNTIFS('業務'!$M$4:$M$200,A57,'業務'!$P$4:$P$200,"移管")&gt;0,"一部",IF(COUNTIFS('業務'!$M$4:$M$200,A57,'業務'!$P$4:$P$200,"対象外")+COUNTIFS('業務'!$M$4:$M$200,A57,'業務'!$P$4:$P$200,"留保")=N57,IF(COUNTIFS('業務'!$M$4:$M$200,A57,'業務'!$P$4:$P$200,"留保")&gt;0,"留保","対象外"),"判定保留")))))</f>
        <v/>
      </c>
    </row>
    <row r="58">
      <c r="A58" s="17" t="n"/>
      <c r="B58" s="17" t="n"/>
      <c r="C58" s="17" t="n"/>
      <c r="D58" s="41">
        <f>IF(C58="","",IFERROR(INDEX('予算シート'!$B:$B,MATCH(C58,'予算シート'!$A:$A,0)),"案件が未登録"))</f>
        <v/>
      </c>
      <c r="E58" s="17" t="n"/>
      <c r="F58" s="17" t="n"/>
      <c r="G58" s="17" t="n"/>
      <c r="H58" s="29" t="n"/>
      <c r="I58" s="29" t="n"/>
      <c r="J58" s="17" t="n"/>
      <c r="K58" s="20" t="n"/>
      <c r="L58" s="41">
        <f>IF(OR(I58="",K58=""),"",EDATE(I58,-K58))</f>
        <v/>
      </c>
      <c r="M58" s="18" t="n"/>
      <c r="N58" s="45">
        <f>IF(A58="","",COUNTIF('業務'!$M$4:$M$200,A58))</f>
        <v/>
      </c>
      <c r="O58" s="41">
        <f>IF(A58="","",IF(N58=0,"対象外",IF(COUNTIFS('業務'!$M$4:$M$200,A58,'業務'!$P$4:$P$200,"移管")=N58,"移管",IF(COUNTIFS('業務'!$M$4:$M$200,A58,'業務'!$P$4:$P$200,"移管")&gt;0,"一部",IF(COUNTIFS('業務'!$M$4:$M$200,A58,'業務'!$P$4:$P$200,"対象外")+COUNTIFS('業務'!$M$4:$M$200,A58,'業務'!$P$4:$P$200,"留保")=N58,IF(COUNTIFS('業務'!$M$4:$M$200,A58,'業務'!$P$4:$P$200,"留保")&gt;0,"留保","対象外"),"判定保留")))))</f>
        <v/>
      </c>
    </row>
    <row r="59">
      <c r="A59" s="17" t="n"/>
      <c r="B59" s="17" t="n"/>
      <c r="C59" s="17" t="n"/>
      <c r="D59" s="41">
        <f>IF(C59="","",IFERROR(INDEX('予算シート'!$B:$B,MATCH(C59,'予算シート'!$A:$A,0)),"案件が未登録"))</f>
        <v/>
      </c>
      <c r="E59" s="17" t="n"/>
      <c r="F59" s="17" t="n"/>
      <c r="G59" s="17" t="n"/>
      <c r="H59" s="29" t="n"/>
      <c r="I59" s="29" t="n"/>
      <c r="J59" s="17" t="n"/>
      <c r="K59" s="20" t="n"/>
      <c r="L59" s="41">
        <f>IF(OR(I59="",K59=""),"",EDATE(I59,-K59))</f>
        <v/>
      </c>
      <c r="M59" s="18" t="n"/>
      <c r="N59" s="45">
        <f>IF(A59="","",COUNTIF('業務'!$M$4:$M$200,A59))</f>
        <v/>
      </c>
      <c r="O59" s="41">
        <f>IF(A59="","",IF(N59=0,"対象外",IF(COUNTIFS('業務'!$M$4:$M$200,A59,'業務'!$P$4:$P$200,"移管")=N59,"移管",IF(COUNTIFS('業務'!$M$4:$M$200,A59,'業務'!$P$4:$P$200,"移管")&gt;0,"一部",IF(COUNTIFS('業務'!$M$4:$M$200,A59,'業務'!$P$4:$P$200,"対象外")+COUNTIFS('業務'!$M$4:$M$200,A59,'業務'!$P$4:$P$200,"留保")=N59,IF(COUNTIFS('業務'!$M$4:$M$200,A59,'業務'!$P$4:$P$200,"留保")&gt;0,"留保","対象外"),"判定保留")))))</f>
        <v/>
      </c>
    </row>
    <row r="60">
      <c r="A60" s="17" t="n"/>
      <c r="B60" s="17" t="n"/>
      <c r="C60" s="17" t="n"/>
      <c r="D60" s="41">
        <f>IF(C60="","",IFERROR(INDEX('予算シート'!$B:$B,MATCH(C60,'予算シート'!$A:$A,0)),"案件が未登録"))</f>
        <v/>
      </c>
      <c r="E60" s="17" t="n"/>
      <c r="F60" s="17" t="n"/>
      <c r="G60" s="17" t="n"/>
      <c r="H60" s="29" t="n"/>
      <c r="I60" s="29" t="n"/>
      <c r="J60" s="17" t="n"/>
      <c r="K60" s="20" t="n"/>
      <c r="L60" s="41">
        <f>IF(OR(I60="",K60=""),"",EDATE(I60,-K60))</f>
        <v/>
      </c>
      <c r="M60" s="18" t="n"/>
      <c r="N60" s="45">
        <f>IF(A60="","",COUNTIF('業務'!$M$4:$M$200,A60))</f>
        <v/>
      </c>
      <c r="O60" s="41">
        <f>IF(A60="","",IF(N60=0,"対象外",IF(COUNTIFS('業務'!$M$4:$M$200,A60,'業務'!$P$4:$P$200,"移管")=N60,"移管",IF(COUNTIFS('業務'!$M$4:$M$200,A60,'業務'!$P$4:$P$200,"移管")&gt;0,"一部",IF(COUNTIFS('業務'!$M$4:$M$200,A60,'業務'!$P$4:$P$200,"対象外")+COUNTIFS('業務'!$M$4:$M$200,A60,'業務'!$P$4:$P$200,"留保")=N60,IF(COUNTIFS('業務'!$M$4:$M$200,A60,'業務'!$P$4:$P$200,"留保")&gt;0,"留保","対象外"),"判定保留")))))</f>
        <v/>
      </c>
    </row>
    <row r="61">
      <c r="A61" s="17" t="n"/>
      <c r="B61" s="17" t="n"/>
      <c r="C61" s="17" t="n"/>
      <c r="D61" s="41">
        <f>IF(C61="","",IFERROR(INDEX('予算シート'!$B:$B,MATCH(C61,'予算シート'!$A:$A,0)),"案件が未登録"))</f>
        <v/>
      </c>
      <c r="E61" s="17" t="n"/>
      <c r="F61" s="17" t="n"/>
      <c r="G61" s="17" t="n"/>
      <c r="H61" s="29" t="n"/>
      <c r="I61" s="29" t="n"/>
      <c r="J61" s="17" t="n"/>
      <c r="K61" s="20" t="n"/>
      <c r="L61" s="41">
        <f>IF(OR(I61="",K61=""),"",EDATE(I61,-K61))</f>
        <v/>
      </c>
      <c r="M61" s="18" t="n"/>
      <c r="N61" s="45">
        <f>IF(A61="","",COUNTIF('業務'!$M$4:$M$200,A61))</f>
        <v/>
      </c>
      <c r="O61" s="41">
        <f>IF(A61="","",IF(N61=0,"対象外",IF(COUNTIFS('業務'!$M$4:$M$200,A61,'業務'!$P$4:$P$200,"移管")=N61,"移管",IF(COUNTIFS('業務'!$M$4:$M$200,A61,'業務'!$P$4:$P$200,"移管")&gt;0,"一部",IF(COUNTIFS('業務'!$M$4:$M$200,A61,'業務'!$P$4:$P$200,"対象外")+COUNTIFS('業務'!$M$4:$M$200,A61,'業務'!$P$4:$P$200,"留保")=N61,IF(COUNTIFS('業務'!$M$4:$M$200,A61,'業務'!$P$4:$P$200,"留保")&gt;0,"留保","対象外"),"判定保留")))))</f>
        <v/>
      </c>
    </row>
    <row r="62">
      <c r="A62" s="17" t="n"/>
      <c r="B62" s="17" t="n"/>
      <c r="C62" s="17" t="n"/>
      <c r="D62" s="41">
        <f>IF(C62="","",IFERROR(INDEX('予算シート'!$B:$B,MATCH(C62,'予算シート'!$A:$A,0)),"案件が未登録"))</f>
        <v/>
      </c>
      <c r="E62" s="17" t="n"/>
      <c r="F62" s="17" t="n"/>
      <c r="G62" s="17" t="n"/>
      <c r="H62" s="29" t="n"/>
      <c r="I62" s="29" t="n"/>
      <c r="J62" s="17" t="n"/>
      <c r="K62" s="20" t="n"/>
      <c r="L62" s="41">
        <f>IF(OR(I62="",K62=""),"",EDATE(I62,-K62))</f>
        <v/>
      </c>
      <c r="M62" s="18" t="n"/>
      <c r="N62" s="45">
        <f>IF(A62="","",COUNTIF('業務'!$M$4:$M$200,A62))</f>
        <v/>
      </c>
      <c r="O62" s="41">
        <f>IF(A62="","",IF(N62=0,"対象外",IF(COUNTIFS('業務'!$M$4:$M$200,A62,'業務'!$P$4:$P$200,"移管")=N62,"移管",IF(COUNTIFS('業務'!$M$4:$M$200,A62,'業務'!$P$4:$P$200,"移管")&gt;0,"一部",IF(COUNTIFS('業務'!$M$4:$M$200,A62,'業務'!$P$4:$P$200,"対象外")+COUNTIFS('業務'!$M$4:$M$200,A62,'業務'!$P$4:$P$200,"留保")=N62,IF(COUNTIFS('業務'!$M$4:$M$200,A62,'業務'!$P$4:$P$200,"留保")&gt;0,"留保","対象外"),"判定保留")))))</f>
        <v/>
      </c>
    </row>
    <row r="63">
      <c r="A63" s="17" t="n"/>
      <c r="B63" s="17" t="n"/>
      <c r="C63" s="17" t="n"/>
      <c r="D63" s="41">
        <f>IF(C63="","",IFERROR(INDEX('予算シート'!$B:$B,MATCH(C63,'予算シート'!$A:$A,0)),"案件が未登録"))</f>
        <v/>
      </c>
      <c r="E63" s="17" t="n"/>
      <c r="F63" s="17" t="n"/>
      <c r="G63" s="17" t="n"/>
      <c r="H63" s="29" t="n"/>
      <c r="I63" s="29" t="n"/>
      <c r="J63" s="17" t="n"/>
      <c r="K63" s="20" t="n"/>
      <c r="L63" s="41">
        <f>IF(OR(I63="",K63=""),"",EDATE(I63,-K63))</f>
        <v/>
      </c>
      <c r="M63" s="18" t="n"/>
      <c r="N63" s="45">
        <f>IF(A63="","",COUNTIF('業務'!$M$4:$M$200,A63))</f>
        <v/>
      </c>
      <c r="O63" s="41">
        <f>IF(A63="","",IF(N63=0,"対象外",IF(COUNTIFS('業務'!$M$4:$M$200,A63,'業務'!$P$4:$P$200,"移管")=N63,"移管",IF(COUNTIFS('業務'!$M$4:$M$200,A63,'業務'!$P$4:$P$200,"移管")&gt;0,"一部",IF(COUNTIFS('業務'!$M$4:$M$200,A63,'業務'!$P$4:$P$200,"対象外")+COUNTIFS('業務'!$M$4:$M$200,A63,'業務'!$P$4:$P$200,"留保")=N63,IF(COUNTIFS('業務'!$M$4:$M$200,A63,'業務'!$P$4:$P$200,"留保")&gt;0,"留保","対象外"),"判定保留")))))</f>
        <v/>
      </c>
    </row>
    <row r="64">
      <c r="A64" s="17" t="n"/>
      <c r="B64" s="17" t="n"/>
      <c r="C64" s="17" t="n"/>
      <c r="D64" s="41">
        <f>IF(C64="","",IFERROR(INDEX('予算シート'!$B:$B,MATCH(C64,'予算シート'!$A:$A,0)),"案件が未登録"))</f>
        <v/>
      </c>
      <c r="E64" s="17" t="n"/>
      <c r="F64" s="17" t="n"/>
      <c r="G64" s="17" t="n"/>
      <c r="H64" s="29" t="n"/>
      <c r="I64" s="29" t="n"/>
      <c r="J64" s="17" t="n"/>
      <c r="K64" s="20" t="n"/>
      <c r="L64" s="41">
        <f>IF(OR(I64="",K64=""),"",EDATE(I64,-K64))</f>
        <v/>
      </c>
      <c r="M64" s="18" t="n"/>
      <c r="N64" s="45">
        <f>IF(A64="","",COUNTIF('業務'!$M$4:$M$200,A64))</f>
        <v/>
      </c>
      <c r="O64" s="41">
        <f>IF(A64="","",IF(N64=0,"対象外",IF(COUNTIFS('業務'!$M$4:$M$200,A64,'業務'!$P$4:$P$200,"移管")=N64,"移管",IF(COUNTIFS('業務'!$M$4:$M$200,A64,'業務'!$P$4:$P$200,"移管")&gt;0,"一部",IF(COUNTIFS('業務'!$M$4:$M$200,A64,'業務'!$P$4:$P$200,"対象外")+COUNTIFS('業務'!$M$4:$M$200,A64,'業務'!$P$4:$P$200,"留保")=N64,IF(COUNTIFS('業務'!$M$4:$M$200,A64,'業務'!$P$4:$P$200,"留保")&gt;0,"留保","対象外"),"判定保留")))))</f>
        <v/>
      </c>
    </row>
    <row r="65">
      <c r="A65" s="17" t="n"/>
      <c r="B65" s="17" t="n"/>
      <c r="C65" s="17" t="n"/>
      <c r="D65" s="41">
        <f>IF(C65="","",IFERROR(INDEX('予算シート'!$B:$B,MATCH(C65,'予算シート'!$A:$A,0)),"案件が未登録"))</f>
        <v/>
      </c>
      <c r="E65" s="17" t="n"/>
      <c r="F65" s="17" t="n"/>
      <c r="G65" s="17" t="n"/>
      <c r="H65" s="29" t="n"/>
      <c r="I65" s="29" t="n"/>
      <c r="J65" s="17" t="n"/>
      <c r="K65" s="20" t="n"/>
      <c r="L65" s="41">
        <f>IF(OR(I65="",K65=""),"",EDATE(I65,-K65))</f>
        <v/>
      </c>
      <c r="M65" s="18" t="n"/>
      <c r="N65" s="45">
        <f>IF(A65="","",COUNTIF('業務'!$M$4:$M$200,A65))</f>
        <v/>
      </c>
      <c r="O65" s="41">
        <f>IF(A65="","",IF(N65=0,"対象外",IF(COUNTIFS('業務'!$M$4:$M$200,A65,'業務'!$P$4:$P$200,"移管")=N65,"移管",IF(COUNTIFS('業務'!$M$4:$M$200,A65,'業務'!$P$4:$P$200,"移管")&gt;0,"一部",IF(COUNTIFS('業務'!$M$4:$M$200,A65,'業務'!$P$4:$P$200,"対象外")+COUNTIFS('業務'!$M$4:$M$200,A65,'業務'!$P$4:$P$200,"留保")=N65,IF(COUNTIFS('業務'!$M$4:$M$200,A65,'業務'!$P$4:$P$200,"留保")&gt;0,"留保","対象外"),"判定保留")))))</f>
        <v/>
      </c>
    </row>
    <row r="66">
      <c r="A66" s="17" t="n"/>
      <c r="B66" s="17" t="n"/>
      <c r="C66" s="17" t="n"/>
      <c r="D66" s="41">
        <f>IF(C66="","",IFERROR(INDEX('予算シート'!$B:$B,MATCH(C66,'予算シート'!$A:$A,0)),"案件が未登録"))</f>
        <v/>
      </c>
      <c r="E66" s="17" t="n"/>
      <c r="F66" s="17" t="n"/>
      <c r="G66" s="17" t="n"/>
      <c r="H66" s="29" t="n"/>
      <c r="I66" s="29" t="n"/>
      <c r="J66" s="17" t="n"/>
      <c r="K66" s="20" t="n"/>
      <c r="L66" s="41">
        <f>IF(OR(I66="",K66=""),"",EDATE(I66,-K66))</f>
        <v/>
      </c>
      <c r="M66" s="18" t="n"/>
      <c r="N66" s="45">
        <f>IF(A66="","",COUNTIF('業務'!$M$4:$M$200,A66))</f>
        <v/>
      </c>
      <c r="O66" s="41">
        <f>IF(A66="","",IF(N66=0,"対象外",IF(COUNTIFS('業務'!$M$4:$M$200,A66,'業務'!$P$4:$P$200,"移管")=N66,"移管",IF(COUNTIFS('業務'!$M$4:$M$200,A66,'業務'!$P$4:$P$200,"移管")&gt;0,"一部",IF(COUNTIFS('業務'!$M$4:$M$200,A66,'業務'!$P$4:$P$200,"対象外")+COUNTIFS('業務'!$M$4:$M$200,A66,'業務'!$P$4:$P$200,"留保")=N66,IF(COUNTIFS('業務'!$M$4:$M$200,A66,'業務'!$P$4:$P$200,"留保")&gt;0,"留保","対象外"),"判定保留")))))</f>
        <v/>
      </c>
    </row>
    <row r="67">
      <c r="A67" s="17" t="n"/>
      <c r="B67" s="17" t="n"/>
      <c r="C67" s="17" t="n"/>
      <c r="D67" s="41">
        <f>IF(C67="","",IFERROR(INDEX('予算シート'!$B:$B,MATCH(C67,'予算シート'!$A:$A,0)),"案件が未登録"))</f>
        <v/>
      </c>
      <c r="E67" s="17" t="n"/>
      <c r="F67" s="17" t="n"/>
      <c r="G67" s="17" t="n"/>
      <c r="H67" s="29" t="n"/>
      <c r="I67" s="29" t="n"/>
      <c r="J67" s="17" t="n"/>
      <c r="K67" s="20" t="n"/>
      <c r="L67" s="41">
        <f>IF(OR(I67="",K67=""),"",EDATE(I67,-K67))</f>
        <v/>
      </c>
      <c r="M67" s="18" t="n"/>
      <c r="N67" s="45">
        <f>IF(A67="","",COUNTIF('業務'!$M$4:$M$200,A67))</f>
        <v/>
      </c>
      <c r="O67" s="41">
        <f>IF(A67="","",IF(N67=0,"対象外",IF(COUNTIFS('業務'!$M$4:$M$200,A67,'業務'!$P$4:$P$200,"移管")=N67,"移管",IF(COUNTIFS('業務'!$M$4:$M$200,A67,'業務'!$P$4:$P$200,"移管")&gt;0,"一部",IF(COUNTIFS('業務'!$M$4:$M$200,A67,'業務'!$P$4:$P$200,"対象外")+COUNTIFS('業務'!$M$4:$M$200,A67,'業務'!$P$4:$P$200,"留保")=N67,IF(COUNTIFS('業務'!$M$4:$M$200,A67,'業務'!$P$4:$P$200,"留保")&gt;0,"留保","対象外"),"判定保留")))))</f>
        <v/>
      </c>
    </row>
    <row r="68">
      <c r="A68" s="17" t="n"/>
      <c r="B68" s="17" t="n"/>
      <c r="C68" s="17" t="n"/>
      <c r="D68" s="41">
        <f>IF(C68="","",IFERROR(INDEX('予算シート'!$B:$B,MATCH(C68,'予算シート'!$A:$A,0)),"案件が未登録"))</f>
        <v/>
      </c>
      <c r="E68" s="17" t="n"/>
      <c r="F68" s="17" t="n"/>
      <c r="G68" s="17" t="n"/>
      <c r="H68" s="29" t="n"/>
      <c r="I68" s="29" t="n"/>
      <c r="J68" s="17" t="n"/>
      <c r="K68" s="20" t="n"/>
      <c r="L68" s="41">
        <f>IF(OR(I68="",K68=""),"",EDATE(I68,-K68))</f>
        <v/>
      </c>
      <c r="M68" s="18" t="n"/>
      <c r="N68" s="45">
        <f>IF(A68="","",COUNTIF('業務'!$M$4:$M$200,A68))</f>
        <v/>
      </c>
      <c r="O68" s="41">
        <f>IF(A68="","",IF(N68=0,"対象外",IF(COUNTIFS('業務'!$M$4:$M$200,A68,'業務'!$P$4:$P$200,"移管")=N68,"移管",IF(COUNTIFS('業務'!$M$4:$M$200,A68,'業務'!$P$4:$P$200,"移管")&gt;0,"一部",IF(COUNTIFS('業務'!$M$4:$M$200,A68,'業務'!$P$4:$P$200,"対象外")+COUNTIFS('業務'!$M$4:$M$200,A68,'業務'!$P$4:$P$200,"留保")=N68,IF(COUNTIFS('業務'!$M$4:$M$200,A68,'業務'!$P$4:$P$200,"留保")&gt;0,"留保","対象外"),"判定保留")))))</f>
        <v/>
      </c>
    </row>
    <row r="69">
      <c r="A69" s="17" t="n"/>
      <c r="B69" s="17" t="n"/>
      <c r="C69" s="17" t="n"/>
      <c r="D69" s="41">
        <f>IF(C69="","",IFERROR(INDEX('予算シート'!$B:$B,MATCH(C69,'予算シート'!$A:$A,0)),"案件が未登録"))</f>
        <v/>
      </c>
      <c r="E69" s="17" t="n"/>
      <c r="F69" s="17" t="n"/>
      <c r="G69" s="17" t="n"/>
      <c r="H69" s="29" t="n"/>
      <c r="I69" s="29" t="n"/>
      <c r="J69" s="17" t="n"/>
      <c r="K69" s="20" t="n"/>
      <c r="L69" s="41">
        <f>IF(OR(I69="",K69=""),"",EDATE(I69,-K69))</f>
        <v/>
      </c>
      <c r="M69" s="18" t="n"/>
      <c r="N69" s="45">
        <f>IF(A69="","",COUNTIF('業務'!$M$4:$M$200,A69))</f>
        <v/>
      </c>
      <c r="O69" s="41">
        <f>IF(A69="","",IF(N69=0,"対象外",IF(COUNTIFS('業務'!$M$4:$M$200,A69,'業務'!$P$4:$P$200,"移管")=N69,"移管",IF(COUNTIFS('業務'!$M$4:$M$200,A69,'業務'!$P$4:$P$200,"移管")&gt;0,"一部",IF(COUNTIFS('業務'!$M$4:$M$200,A69,'業務'!$P$4:$P$200,"対象外")+COUNTIFS('業務'!$M$4:$M$200,A69,'業務'!$P$4:$P$200,"留保")=N69,IF(COUNTIFS('業務'!$M$4:$M$200,A69,'業務'!$P$4:$P$200,"留保")&gt;0,"留保","対象外"),"判定保留")))))</f>
        <v/>
      </c>
    </row>
    <row r="70">
      <c r="A70" s="17" t="n"/>
      <c r="B70" s="17" t="n"/>
      <c r="C70" s="17" t="n"/>
      <c r="D70" s="41">
        <f>IF(C70="","",IFERROR(INDEX('予算シート'!$B:$B,MATCH(C70,'予算シート'!$A:$A,0)),"案件が未登録"))</f>
        <v/>
      </c>
      <c r="E70" s="17" t="n"/>
      <c r="F70" s="17" t="n"/>
      <c r="G70" s="17" t="n"/>
      <c r="H70" s="29" t="n"/>
      <c r="I70" s="29" t="n"/>
      <c r="J70" s="17" t="n"/>
      <c r="K70" s="20" t="n"/>
      <c r="L70" s="41">
        <f>IF(OR(I70="",K70=""),"",EDATE(I70,-K70))</f>
        <v/>
      </c>
      <c r="M70" s="18" t="n"/>
      <c r="N70" s="45">
        <f>IF(A70="","",COUNTIF('業務'!$M$4:$M$200,A70))</f>
        <v/>
      </c>
      <c r="O70" s="41">
        <f>IF(A70="","",IF(N70=0,"対象外",IF(COUNTIFS('業務'!$M$4:$M$200,A70,'業務'!$P$4:$P$200,"移管")=N70,"移管",IF(COUNTIFS('業務'!$M$4:$M$200,A70,'業務'!$P$4:$P$200,"移管")&gt;0,"一部",IF(COUNTIFS('業務'!$M$4:$M$200,A70,'業務'!$P$4:$P$200,"対象外")+COUNTIFS('業務'!$M$4:$M$200,A70,'業務'!$P$4:$P$200,"留保")=N70,IF(COUNTIFS('業務'!$M$4:$M$200,A70,'業務'!$P$4:$P$200,"留保")&gt;0,"留保","対象外"),"判定保留")))))</f>
        <v/>
      </c>
    </row>
    <row r="71">
      <c r="A71" s="17" t="n"/>
      <c r="B71" s="17" t="n"/>
      <c r="C71" s="17" t="n"/>
      <c r="D71" s="41">
        <f>IF(C71="","",IFERROR(INDEX('予算シート'!$B:$B,MATCH(C71,'予算シート'!$A:$A,0)),"案件が未登録"))</f>
        <v/>
      </c>
      <c r="E71" s="17" t="n"/>
      <c r="F71" s="17" t="n"/>
      <c r="G71" s="17" t="n"/>
      <c r="H71" s="29" t="n"/>
      <c r="I71" s="29" t="n"/>
      <c r="J71" s="17" t="n"/>
      <c r="K71" s="20" t="n"/>
      <c r="L71" s="41">
        <f>IF(OR(I71="",K71=""),"",EDATE(I71,-K71))</f>
        <v/>
      </c>
      <c r="M71" s="18" t="n"/>
      <c r="N71" s="45">
        <f>IF(A71="","",COUNTIF('業務'!$M$4:$M$200,A71))</f>
        <v/>
      </c>
      <c r="O71" s="41">
        <f>IF(A71="","",IF(N71=0,"対象外",IF(COUNTIFS('業務'!$M$4:$M$200,A71,'業務'!$P$4:$P$200,"移管")=N71,"移管",IF(COUNTIFS('業務'!$M$4:$M$200,A71,'業務'!$P$4:$P$200,"移管")&gt;0,"一部",IF(COUNTIFS('業務'!$M$4:$M$200,A71,'業務'!$P$4:$P$200,"対象外")+COUNTIFS('業務'!$M$4:$M$200,A71,'業務'!$P$4:$P$200,"留保")=N71,IF(COUNTIFS('業務'!$M$4:$M$200,A71,'業務'!$P$4:$P$200,"留保")&gt;0,"留保","対象外"),"判定保留")))))</f>
        <v/>
      </c>
    </row>
    <row r="72">
      <c r="A72" s="17" t="n"/>
      <c r="B72" s="17" t="n"/>
      <c r="C72" s="17" t="n"/>
      <c r="D72" s="41">
        <f>IF(C72="","",IFERROR(INDEX('予算シート'!$B:$B,MATCH(C72,'予算シート'!$A:$A,0)),"案件が未登録"))</f>
        <v/>
      </c>
      <c r="E72" s="17" t="n"/>
      <c r="F72" s="17" t="n"/>
      <c r="G72" s="17" t="n"/>
      <c r="H72" s="29" t="n"/>
      <c r="I72" s="29" t="n"/>
      <c r="J72" s="17" t="n"/>
      <c r="K72" s="20" t="n"/>
      <c r="L72" s="41">
        <f>IF(OR(I72="",K72=""),"",EDATE(I72,-K72))</f>
        <v/>
      </c>
      <c r="M72" s="18" t="n"/>
      <c r="N72" s="45">
        <f>IF(A72="","",COUNTIF('業務'!$M$4:$M$200,A72))</f>
        <v/>
      </c>
      <c r="O72" s="41">
        <f>IF(A72="","",IF(N72=0,"対象外",IF(COUNTIFS('業務'!$M$4:$M$200,A72,'業務'!$P$4:$P$200,"移管")=N72,"移管",IF(COUNTIFS('業務'!$M$4:$M$200,A72,'業務'!$P$4:$P$200,"移管")&gt;0,"一部",IF(COUNTIFS('業務'!$M$4:$M$200,A72,'業務'!$P$4:$P$200,"対象外")+COUNTIFS('業務'!$M$4:$M$200,A72,'業務'!$P$4:$P$200,"留保")=N72,IF(COUNTIFS('業務'!$M$4:$M$200,A72,'業務'!$P$4:$P$200,"留保")&gt;0,"留保","対象外"),"判定保留")))))</f>
        <v/>
      </c>
    </row>
    <row r="73">
      <c r="A73" s="17" t="n"/>
      <c r="B73" s="17" t="n"/>
      <c r="C73" s="17" t="n"/>
      <c r="D73" s="41">
        <f>IF(C73="","",IFERROR(INDEX('予算シート'!$B:$B,MATCH(C73,'予算シート'!$A:$A,0)),"案件が未登録"))</f>
        <v/>
      </c>
      <c r="E73" s="17" t="n"/>
      <c r="F73" s="17" t="n"/>
      <c r="G73" s="17" t="n"/>
      <c r="H73" s="29" t="n"/>
      <c r="I73" s="29" t="n"/>
      <c r="J73" s="17" t="n"/>
      <c r="K73" s="20" t="n"/>
      <c r="L73" s="41">
        <f>IF(OR(I73="",K73=""),"",EDATE(I73,-K73))</f>
        <v/>
      </c>
      <c r="M73" s="18" t="n"/>
      <c r="N73" s="45">
        <f>IF(A73="","",COUNTIF('業務'!$M$4:$M$200,A73))</f>
        <v/>
      </c>
      <c r="O73" s="41">
        <f>IF(A73="","",IF(N73=0,"対象外",IF(COUNTIFS('業務'!$M$4:$M$200,A73,'業務'!$P$4:$P$200,"移管")=N73,"移管",IF(COUNTIFS('業務'!$M$4:$M$200,A73,'業務'!$P$4:$P$200,"移管")&gt;0,"一部",IF(COUNTIFS('業務'!$M$4:$M$200,A73,'業務'!$P$4:$P$200,"対象外")+COUNTIFS('業務'!$M$4:$M$200,A73,'業務'!$P$4:$P$200,"留保")=N73,IF(COUNTIFS('業務'!$M$4:$M$200,A73,'業務'!$P$4:$P$200,"留保")&gt;0,"留保","対象外"),"判定保留")))))</f>
        <v/>
      </c>
    </row>
    <row r="74">
      <c r="A74" s="17" t="n"/>
      <c r="B74" s="17" t="n"/>
      <c r="C74" s="17" t="n"/>
      <c r="D74" s="41">
        <f>IF(C74="","",IFERROR(INDEX('予算シート'!$B:$B,MATCH(C74,'予算シート'!$A:$A,0)),"案件が未登録"))</f>
        <v/>
      </c>
      <c r="E74" s="17" t="n"/>
      <c r="F74" s="17" t="n"/>
      <c r="G74" s="17" t="n"/>
      <c r="H74" s="29" t="n"/>
      <c r="I74" s="29" t="n"/>
      <c r="J74" s="17" t="n"/>
      <c r="K74" s="20" t="n"/>
      <c r="L74" s="41">
        <f>IF(OR(I74="",K74=""),"",EDATE(I74,-K74))</f>
        <v/>
      </c>
      <c r="M74" s="18" t="n"/>
      <c r="N74" s="45">
        <f>IF(A74="","",COUNTIF('業務'!$M$4:$M$200,A74))</f>
        <v/>
      </c>
      <c r="O74" s="41">
        <f>IF(A74="","",IF(N74=0,"対象外",IF(COUNTIFS('業務'!$M$4:$M$200,A74,'業務'!$P$4:$P$200,"移管")=N74,"移管",IF(COUNTIFS('業務'!$M$4:$M$200,A74,'業務'!$P$4:$P$200,"移管")&gt;0,"一部",IF(COUNTIFS('業務'!$M$4:$M$200,A74,'業務'!$P$4:$P$200,"対象外")+COUNTIFS('業務'!$M$4:$M$200,A74,'業務'!$P$4:$P$200,"留保")=N74,IF(COUNTIFS('業務'!$M$4:$M$200,A74,'業務'!$P$4:$P$200,"留保")&gt;0,"留保","対象外"),"判定保留")))))</f>
        <v/>
      </c>
    </row>
    <row r="75">
      <c r="A75" s="17" t="n"/>
      <c r="B75" s="17" t="n"/>
      <c r="C75" s="17" t="n"/>
      <c r="D75" s="41">
        <f>IF(C75="","",IFERROR(INDEX('予算シート'!$B:$B,MATCH(C75,'予算シート'!$A:$A,0)),"案件が未登録"))</f>
        <v/>
      </c>
      <c r="E75" s="17" t="n"/>
      <c r="F75" s="17" t="n"/>
      <c r="G75" s="17" t="n"/>
      <c r="H75" s="29" t="n"/>
      <c r="I75" s="29" t="n"/>
      <c r="J75" s="17" t="n"/>
      <c r="K75" s="20" t="n"/>
      <c r="L75" s="41">
        <f>IF(OR(I75="",K75=""),"",EDATE(I75,-K75))</f>
        <v/>
      </c>
      <c r="M75" s="18" t="n"/>
      <c r="N75" s="45">
        <f>IF(A75="","",COUNTIF('業務'!$M$4:$M$200,A75))</f>
        <v/>
      </c>
      <c r="O75" s="41">
        <f>IF(A75="","",IF(N75=0,"対象外",IF(COUNTIFS('業務'!$M$4:$M$200,A75,'業務'!$P$4:$P$200,"移管")=N75,"移管",IF(COUNTIFS('業務'!$M$4:$M$200,A75,'業務'!$P$4:$P$200,"移管")&gt;0,"一部",IF(COUNTIFS('業務'!$M$4:$M$200,A75,'業務'!$P$4:$P$200,"対象外")+COUNTIFS('業務'!$M$4:$M$200,A75,'業務'!$P$4:$P$200,"留保")=N75,IF(COUNTIFS('業務'!$M$4:$M$200,A75,'業務'!$P$4:$P$200,"留保")&gt;0,"留保","対象外"),"判定保留")))))</f>
        <v/>
      </c>
    </row>
    <row r="76">
      <c r="A76" s="17" t="n"/>
      <c r="B76" s="17" t="n"/>
      <c r="C76" s="17" t="n"/>
      <c r="D76" s="41">
        <f>IF(C76="","",IFERROR(INDEX('予算シート'!$B:$B,MATCH(C76,'予算シート'!$A:$A,0)),"案件が未登録"))</f>
        <v/>
      </c>
      <c r="E76" s="17" t="n"/>
      <c r="F76" s="17" t="n"/>
      <c r="G76" s="17" t="n"/>
      <c r="H76" s="29" t="n"/>
      <c r="I76" s="29" t="n"/>
      <c r="J76" s="17" t="n"/>
      <c r="K76" s="20" t="n"/>
      <c r="L76" s="41">
        <f>IF(OR(I76="",K76=""),"",EDATE(I76,-K76))</f>
        <v/>
      </c>
      <c r="M76" s="18" t="n"/>
      <c r="N76" s="45">
        <f>IF(A76="","",COUNTIF('業務'!$M$4:$M$200,A76))</f>
        <v/>
      </c>
      <c r="O76" s="41">
        <f>IF(A76="","",IF(N76=0,"対象外",IF(COUNTIFS('業務'!$M$4:$M$200,A76,'業務'!$P$4:$P$200,"移管")=N76,"移管",IF(COUNTIFS('業務'!$M$4:$M$200,A76,'業務'!$P$4:$P$200,"移管")&gt;0,"一部",IF(COUNTIFS('業務'!$M$4:$M$200,A76,'業務'!$P$4:$P$200,"対象外")+COUNTIFS('業務'!$M$4:$M$200,A76,'業務'!$P$4:$P$200,"留保")=N76,IF(COUNTIFS('業務'!$M$4:$M$200,A76,'業務'!$P$4:$P$200,"留保")&gt;0,"留保","対象外"),"判定保留")))))</f>
        <v/>
      </c>
    </row>
    <row r="77">
      <c r="A77" s="17" t="n"/>
      <c r="B77" s="17" t="n"/>
      <c r="C77" s="17" t="n"/>
      <c r="D77" s="41">
        <f>IF(C77="","",IFERROR(INDEX('予算シート'!$B:$B,MATCH(C77,'予算シート'!$A:$A,0)),"案件が未登録"))</f>
        <v/>
      </c>
      <c r="E77" s="17" t="n"/>
      <c r="F77" s="17" t="n"/>
      <c r="G77" s="17" t="n"/>
      <c r="H77" s="29" t="n"/>
      <c r="I77" s="29" t="n"/>
      <c r="J77" s="17" t="n"/>
      <c r="K77" s="20" t="n"/>
      <c r="L77" s="41">
        <f>IF(OR(I77="",K77=""),"",EDATE(I77,-K77))</f>
        <v/>
      </c>
      <c r="M77" s="18" t="n"/>
      <c r="N77" s="45">
        <f>IF(A77="","",COUNTIF('業務'!$M$4:$M$200,A77))</f>
        <v/>
      </c>
      <c r="O77" s="41">
        <f>IF(A77="","",IF(N77=0,"対象外",IF(COUNTIFS('業務'!$M$4:$M$200,A77,'業務'!$P$4:$P$200,"移管")=N77,"移管",IF(COUNTIFS('業務'!$M$4:$M$200,A77,'業務'!$P$4:$P$200,"移管")&gt;0,"一部",IF(COUNTIFS('業務'!$M$4:$M$200,A77,'業務'!$P$4:$P$200,"対象外")+COUNTIFS('業務'!$M$4:$M$200,A77,'業務'!$P$4:$P$200,"留保")=N77,IF(COUNTIFS('業務'!$M$4:$M$200,A77,'業務'!$P$4:$P$200,"留保")&gt;0,"留保","対象外"),"判定保留")))))</f>
        <v/>
      </c>
    </row>
    <row r="78">
      <c r="A78" s="17" t="n"/>
      <c r="B78" s="17" t="n"/>
      <c r="C78" s="17" t="n"/>
      <c r="D78" s="41">
        <f>IF(C78="","",IFERROR(INDEX('予算シート'!$B:$B,MATCH(C78,'予算シート'!$A:$A,0)),"案件が未登録"))</f>
        <v/>
      </c>
      <c r="E78" s="17" t="n"/>
      <c r="F78" s="17" t="n"/>
      <c r="G78" s="17" t="n"/>
      <c r="H78" s="29" t="n"/>
      <c r="I78" s="29" t="n"/>
      <c r="J78" s="17" t="n"/>
      <c r="K78" s="20" t="n"/>
      <c r="L78" s="41">
        <f>IF(OR(I78="",K78=""),"",EDATE(I78,-K78))</f>
        <v/>
      </c>
      <c r="M78" s="18" t="n"/>
      <c r="N78" s="45">
        <f>IF(A78="","",COUNTIF('業務'!$M$4:$M$200,A78))</f>
        <v/>
      </c>
      <c r="O78" s="41">
        <f>IF(A78="","",IF(N78=0,"対象外",IF(COUNTIFS('業務'!$M$4:$M$200,A78,'業務'!$P$4:$P$200,"移管")=N78,"移管",IF(COUNTIFS('業務'!$M$4:$M$200,A78,'業務'!$P$4:$P$200,"移管")&gt;0,"一部",IF(COUNTIFS('業務'!$M$4:$M$200,A78,'業務'!$P$4:$P$200,"対象外")+COUNTIFS('業務'!$M$4:$M$200,A78,'業務'!$P$4:$P$200,"留保")=N78,IF(COUNTIFS('業務'!$M$4:$M$200,A78,'業務'!$P$4:$P$200,"留保")&gt;0,"留保","対象外"),"判定保留")))))</f>
        <v/>
      </c>
    </row>
    <row r="79">
      <c r="A79" s="17" t="n"/>
      <c r="B79" s="17" t="n"/>
      <c r="C79" s="17" t="n"/>
      <c r="D79" s="41">
        <f>IF(C79="","",IFERROR(INDEX('予算シート'!$B:$B,MATCH(C79,'予算シート'!$A:$A,0)),"案件が未登録"))</f>
        <v/>
      </c>
      <c r="E79" s="17" t="n"/>
      <c r="F79" s="17" t="n"/>
      <c r="G79" s="17" t="n"/>
      <c r="H79" s="29" t="n"/>
      <c r="I79" s="29" t="n"/>
      <c r="J79" s="17" t="n"/>
      <c r="K79" s="20" t="n"/>
      <c r="L79" s="41">
        <f>IF(OR(I79="",K79=""),"",EDATE(I79,-K79))</f>
        <v/>
      </c>
      <c r="M79" s="18" t="n"/>
      <c r="N79" s="45">
        <f>IF(A79="","",COUNTIF('業務'!$M$4:$M$200,A79))</f>
        <v/>
      </c>
      <c r="O79" s="41">
        <f>IF(A79="","",IF(N79=0,"対象外",IF(COUNTIFS('業務'!$M$4:$M$200,A79,'業務'!$P$4:$P$200,"移管")=N79,"移管",IF(COUNTIFS('業務'!$M$4:$M$200,A79,'業務'!$P$4:$P$200,"移管")&gt;0,"一部",IF(COUNTIFS('業務'!$M$4:$M$200,A79,'業務'!$P$4:$P$200,"対象外")+COUNTIFS('業務'!$M$4:$M$200,A79,'業務'!$P$4:$P$200,"留保")=N79,IF(COUNTIFS('業務'!$M$4:$M$200,A79,'業務'!$P$4:$P$200,"留保")&gt;0,"留保","対象外"),"判定保留")))))</f>
        <v/>
      </c>
    </row>
    <row r="80">
      <c r="A80" s="17" t="n"/>
      <c r="B80" s="17" t="n"/>
      <c r="C80" s="17" t="n"/>
      <c r="D80" s="41">
        <f>IF(C80="","",IFERROR(INDEX('予算シート'!$B:$B,MATCH(C80,'予算シート'!$A:$A,0)),"案件が未登録"))</f>
        <v/>
      </c>
      <c r="E80" s="17" t="n"/>
      <c r="F80" s="17" t="n"/>
      <c r="G80" s="17" t="n"/>
      <c r="H80" s="29" t="n"/>
      <c r="I80" s="29" t="n"/>
      <c r="J80" s="17" t="n"/>
      <c r="K80" s="20" t="n"/>
      <c r="L80" s="41">
        <f>IF(OR(I80="",K80=""),"",EDATE(I80,-K80))</f>
        <v/>
      </c>
      <c r="M80" s="18" t="n"/>
      <c r="N80" s="45">
        <f>IF(A80="","",COUNTIF('業務'!$M$4:$M$200,A80))</f>
        <v/>
      </c>
      <c r="O80" s="41">
        <f>IF(A80="","",IF(N80=0,"対象外",IF(COUNTIFS('業務'!$M$4:$M$200,A80,'業務'!$P$4:$P$200,"移管")=N80,"移管",IF(COUNTIFS('業務'!$M$4:$M$200,A80,'業務'!$P$4:$P$200,"移管")&gt;0,"一部",IF(COUNTIFS('業務'!$M$4:$M$200,A80,'業務'!$P$4:$P$200,"対象外")+COUNTIFS('業務'!$M$4:$M$200,A80,'業務'!$P$4:$P$200,"留保")=N80,IF(COUNTIFS('業務'!$M$4:$M$200,A80,'業務'!$P$4:$P$200,"留保")&gt;0,"留保","対象外"),"判定保留")))))</f>
        <v/>
      </c>
    </row>
    <row r="81">
      <c r="A81" s="17" t="n"/>
      <c r="B81" s="17" t="n"/>
      <c r="C81" s="17" t="n"/>
      <c r="D81" s="41">
        <f>IF(C81="","",IFERROR(INDEX('予算シート'!$B:$B,MATCH(C81,'予算シート'!$A:$A,0)),"案件が未登録"))</f>
        <v/>
      </c>
      <c r="E81" s="17" t="n"/>
      <c r="F81" s="17" t="n"/>
      <c r="G81" s="17" t="n"/>
      <c r="H81" s="29" t="n"/>
      <c r="I81" s="29" t="n"/>
      <c r="J81" s="17" t="n"/>
      <c r="K81" s="20" t="n"/>
      <c r="L81" s="41">
        <f>IF(OR(I81="",K81=""),"",EDATE(I81,-K81))</f>
        <v/>
      </c>
      <c r="M81" s="18" t="n"/>
      <c r="N81" s="45">
        <f>IF(A81="","",COUNTIF('業務'!$M$4:$M$200,A81))</f>
        <v/>
      </c>
      <c r="O81" s="41">
        <f>IF(A81="","",IF(N81=0,"対象外",IF(COUNTIFS('業務'!$M$4:$M$200,A81,'業務'!$P$4:$P$200,"移管")=N81,"移管",IF(COUNTIFS('業務'!$M$4:$M$200,A81,'業務'!$P$4:$P$200,"移管")&gt;0,"一部",IF(COUNTIFS('業務'!$M$4:$M$200,A81,'業務'!$P$4:$P$200,"対象外")+COUNTIFS('業務'!$M$4:$M$200,A81,'業務'!$P$4:$P$200,"留保")=N81,IF(COUNTIFS('業務'!$M$4:$M$200,A81,'業務'!$P$4:$P$200,"留保")&gt;0,"留保","対象外"),"判定保留")))))</f>
        <v/>
      </c>
    </row>
    <row r="82">
      <c r="A82" s="17" t="n"/>
      <c r="B82" s="17" t="n"/>
      <c r="C82" s="17" t="n"/>
      <c r="D82" s="41">
        <f>IF(C82="","",IFERROR(INDEX('予算シート'!$B:$B,MATCH(C82,'予算シート'!$A:$A,0)),"案件が未登録"))</f>
        <v/>
      </c>
      <c r="E82" s="17" t="n"/>
      <c r="F82" s="17" t="n"/>
      <c r="G82" s="17" t="n"/>
      <c r="H82" s="29" t="n"/>
      <c r="I82" s="29" t="n"/>
      <c r="J82" s="17" t="n"/>
      <c r="K82" s="20" t="n"/>
      <c r="L82" s="41">
        <f>IF(OR(I82="",K82=""),"",EDATE(I82,-K82))</f>
        <v/>
      </c>
      <c r="M82" s="18" t="n"/>
      <c r="N82" s="45">
        <f>IF(A82="","",COUNTIF('業務'!$M$4:$M$200,A82))</f>
        <v/>
      </c>
      <c r="O82" s="41">
        <f>IF(A82="","",IF(N82=0,"対象外",IF(COUNTIFS('業務'!$M$4:$M$200,A82,'業務'!$P$4:$P$200,"移管")=N82,"移管",IF(COUNTIFS('業務'!$M$4:$M$200,A82,'業務'!$P$4:$P$200,"移管")&gt;0,"一部",IF(COUNTIFS('業務'!$M$4:$M$200,A82,'業務'!$P$4:$P$200,"対象外")+COUNTIFS('業務'!$M$4:$M$200,A82,'業務'!$P$4:$P$200,"留保")=N82,IF(COUNTIFS('業務'!$M$4:$M$200,A82,'業務'!$P$4:$P$200,"留保")&gt;0,"留保","対象外"),"判定保留")))))</f>
        <v/>
      </c>
    </row>
    <row r="83">
      <c r="A83" s="17" t="n"/>
      <c r="B83" s="17" t="n"/>
      <c r="C83" s="17" t="n"/>
      <c r="D83" s="41">
        <f>IF(C83="","",IFERROR(INDEX('予算シート'!$B:$B,MATCH(C83,'予算シート'!$A:$A,0)),"案件が未登録"))</f>
        <v/>
      </c>
      <c r="E83" s="17" t="n"/>
      <c r="F83" s="17" t="n"/>
      <c r="G83" s="17" t="n"/>
      <c r="H83" s="29" t="n"/>
      <c r="I83" s="29" t="n"/>
      <c r="J83" s="17" t="n"/>
      <c r="K83" s="20" t="n"/>
      <c r="L83" s="41">
        <f>IF(OR(I83="",K83=""),"",EDATE(I83,-K83))</f>
        <v/>
      </c>
      <c r="M83" s="18" t="n"/>
      <c r="N83" s="45">
        <f>IF(A83="","",COUNTIF('業務'!$M$4:$M$200,A83))</f>
        <v/>
      </c>
      <c r="O83" s="41">
        <f>IF(A83="","",IF(N83=0,"対象外",IF(COUNTIFS('業務'!$M$4:$M$200,A83,'業務'!$P$4:$P$200,"移管")=N83,"移管",IF(COUNTIFS('業務'!$M$4:$M$200,A83,'業務'!$P$4:$P$200,"移管")&gt;0,"一部",IF(COUNTIFS('業務'!$M$4:$M$200,A83,'業務'!$P$4:$P$200,"対象外")+COUNTIFS('業務'!$M$4:$M$200,A83,'業務'!$P$4:$P$200,"留保")=N83,IF(COUNTIFS('業務'!$M$4:$M$200,A83,'業務'!$P$4:$P$200,"留保")&gt;0,"留保","対象外"),"判定保留")))))</f>
        <v/>
      </c>
    </row>
    <row r="84">
      <c r="A84" s="17" t="n"/>
      <c r="B84" s="17" t="n"/>
      <c r="C84" s="17" t="n"/>
      <c r="D84" s="41">
        <f>IF(C84="","",IFERROR(INDEX('予算シート'!$B:$B,MATCH(C84,'予算シート'!$A:$A,0)),"案件が未登録"))</f>
        <v/>
      </c>
      <c r="E84" s="17" t="n"/>
      <c r="F84" s="17" t="n"/>
      <c r="G84" s="17" t="n"/>
      <c r="H84" s="29" t="n"/>
      <c r="I84" s="29" t="n"/>
      <c r="J84" s="17" t="n"/>
      <c r="K84" s="20" t="n"/>
      <c r="L84" s="41">
        <f>IF(OR(I84="",K84=""),"",EDATE(I84,-K84))</f>
        <v/>
      </c>
      <c r="M84" s="18" t="n"/>
      <c r="N84" s="45">
        <f>IF(A84="","",COUNTIF('業務'!$M$4:$M$200,A84))</f>
        <v/>
      </c>
      <c r="O84" s="41">
        <f>IF(A84="","",IF(N84=0,"対象外",IF(COUNTIFS('業務'!$M$4:$M$200,A84,'業務'!$P$4:$P$200,"移管")=N84,"移管",IF(COUNTIFS('業務'!$M$4:$M$200,A84,'業務'!$P$4:$P$200,"移管")&gt;0,"一部",IF(COUNTIFS('業務'!$M$4:$M$200,A84,'業務'!$P$4:$P$200,"対象外")+COUNTIFS('業務'!$M$4:$M$200,A84,'業務'!$P$4:$P$200,"留保")=N84,IF(COUNTIFS('業務'!$M$4:$M$200,A84,'業務'!$P$4:$P$200,"留保")&gt;0,"留保","対象外"),"判定保留")))))</f>
        <v/>
      </c>
    </row>
    <row r="85">
      <c r="A85" s="17" t="n"/>
      <c r="B85" s="17" t="n"/>
      <c r="C85" s="17" t="n"/>
      <c r="D85" s="41">
        <f>IF(C85="","",IFERROR(INDEX('予算シート'!$B:$B,MATCH(C85,'予算シート'!$A:$A,0)),"案件が未登録"))</f>
        <v/>
      </c>
      <c r="E85" s="17" t="n"/>
      <c r="F85" s="17" t="n"/>
      <c r="G85" s="17" t="n"/>
      <c r="H85" s="29" t="n"/>
      <c r="I85" s="29" t="n"/>
      <c r="J85" s="17" t="n"/>
      <c r="K85" s="20" t="n"/>
      <c r="L85" s="41">
        <f>IF(OR(I85="",K85=""),"",EDATE(I85,-K85))</f>
        <v/>
      </c>
      <c r="M85" s="18" t="n"/>
      <c r="N85" s="45">
        <f>IF(A85="","",COUNTIF('業務'!$M$4:$M$200,A85))</f>
        <v/>
      </c>
      <c r="O85" s="41">
        <f>IF(A85="","",IF(N85=0,"対象外",IF(COUNTIFS('業務'!$M$4:$M$200,A85,'業務'!$P$4:$P$200,"移管")=N85,"移管",IF(COUNTIFS('業務'!$M$4:$M$200,A85,'業務'!$P$4:$P$200,"移管")&gt;0,"一部",IF(COUNTIFS('業務'!$M$4:$M$200,A85,'業務'!$P$4:$P$200,"対象外")+COUNTIFS('業務'!$M$4:$M$200,A85,'業務'!$P$4:$P$200,"留保")=N85,IF(COUNTIFS('業務'!$M$4:$M$200,A85,'業務'!$P$4:$P$200,"留保")&gt;0,"留保","対象外"),"判定保留")))))</f>
        <v/>
      </c>
    </row>
    <row r="86">
      <c r="A86" s="17" t="n"/>
      <c r="B86" s="17" t="n"/>
      <c r="C86" s="17" t="n"/>
      <c r="D86" s="41">
        <f>IF(C86="","",IFERROR(INDEX('予算シート'!$B:$B,MATCH(C86,'予算シート'!$A:$A,0)),"案件が未登録"))</f>
        <v/>
      </c>
      <c r="E86" s="17" t="n"/>
      <c r="F86" s="17" t="n"/>
      <c r="G86" s="17" t="n"/>
      <c r="H86" s="29" t="n"/>
      <c r="I86" s="29" t="n"/>
      <c r="J86" s="17" t="n"/>
      <c r="K86" s="20" t="n"/>
      <c r="L86" s="41">
        <f>IF(OR(I86="",K86=""),"",EDATE(I86,-K86))</f>
        <v/>
      </c>
      <c r="M86" s="18" t="n"/>
      <c r="N86" s="45">
        <f>IF(A86="","",COUNTIF('業務'!$M$4:$M$200,A86))</f>
        <v/>
      </c>
      <c r="O86" s="41">
        <f>IF(A86="","",IF(N86=0,"対象外",IF(COUNTIFS('業務'!$M$4:$M$200,A86,'業務'!$P$4:$P$200,"移管")=N86,"移管",IF(COUNTIFS('業務'!$M$4:$M$200,A86,'業務'!$P$4:$P$200,"移管")&gt;0,"一部",IF(COUNTIFS('業務'!$M$4:$M$200,A86,'業務'!$P$4:$P$200,"対象外")+COUNTIFS('業務'!$M$4:$M$200,A86,'業務'!$P$4:$P$200,"留保")=N86,IF(COUNTIFS('業務'!$M$4:$M$200,A86,'業務'!$P$4:$P$200,"留保")&gt;0,"留保","対象外"),"判定保留")))))</f>
        <v/>
      </c>
    </row>
    <row r="87">
      <c r="A87" s="17" t="n"/>
      <c r="B87" s="17" t="n"/>
      <c r="C87" s="17" t="n"/>
      <c r="D87" s="41">
        <f>IF(C87="","",IFERROR(INDEX('予算シート'!$B:$B,MATCH(C87,'予算シート'!$A:$A,0)),"案件が未登録"))</f>
        <v/>
      </c>
      <c r="E87" s="17" t="n"/>
      <c r="F87" s="17" t="n"/>
      <c r="G87" s="17" t="n"/>
      <c r="H87" s="29" t="n"/>
      <c r="I87" s="29" t="n"/>
      <c r="J87" s="17" t="n"/>
      <c r="K87" s="20" t="n"/>
      <c r="L87" s="41">
        <f>IF(OR(I87="",K87=""),"",EDATE(I87,-K87))</f>
        <v/>
      </c>
      <c r="M87" s="18" t="n"/>
      <c r="N87" s="45">
        <f>IF(A87="","",COUNTIF('業務'!$M$4:$M$200,A87))</f>
        <v/>
      </c>
      <c r="O87" s="41">
        <f>IF(A87="","",IF(N87=0,"対象外",IF(COUNTIFS('業務'!$M$4:$M$200,A87,'業務'!$P$4:$P$200,"移管")=N87,"移管",IF(COUNTIFS('業務'!$M$4:$M$200,A87,'業務'!$P$4:$P$200,"移管")&gt;0,"一部",IF(COUNTIFS('業務'!$M$4:$M$200,A87,'業務'!$P$4:$P$200,"対象外")+COUNTIFS('業務'!$M$4:$M$200,A87,'業務'!$P$4:$P$200,"留保")=N87,IF(COUNTIFS('業務'!$M$4:$M$200,A87,'業務'!$P$4:$P$200,"留保")&gt;0,"留保","対象外"),"判定保留")))))</f>
        <v/>
      </c>
    </row>
    <row r="88">
      <c r="A88" s="17" t="n"/>
      <c r="B88" s="17" t="n"/>
      <c r="C88" s="17" t="n"/>
      <c r="D88" s="41">
        <f>IF(C88="","",IFERROR(INDEX('予算シート'!$B:$B,MATCH(C88,'予算シート'!$A:$A,0)),"案件が未登録"))</f>
        <v/>
      </c>
      <c r="E88" s="17" t="n"/>
      <c r="F88" s="17" t="n"/>
      <c r="G88" s="17" t="n"/>
      <c r="H88" s="29" t="n"/>
      <c r="I88" s="29" t="n"/>
      <c r="J88" s="17" t="n"/>
      <c r="K88" s="20" t="n"/>
      <c r="L88" s="41">
        <f>IF(OR(I88="",K88=""),"",EDATE(I88,-K88))</f>
        <v/>
      </c>
      <c r="M88" s="18" t="n"/>
      <c r="N88" s="45">
        <f>IF(A88="","",COUNTIF('業務'!$M$4:$M$200,A88))</f>
        <v/>
      </c>
      <c r="O88" s="41">
        <f>IF(A88="","",IF(N88=0,"対象外",IF(COUNTIFS('業務'!$M$4:$M$200,A88,'業務'!$P$4:$P$200,"移管")=N88,"移管",IF(COUNTIFS('業務'!$M$4:$M$200,A88,'業務'!$P$4:$P$200,"移管")&gt;0,"一部",IF(COUNTIFS('業務'!$M$4:$M$200,A88,'業務'!$P$4:$P$200,"対象外")+COUNTIFS('業務'!$M$4:$M$200,A88,'業務'!$P$4:$P$200,"留保")=N88,IF(COUNTIFS('業務'!$M$4:$M$200,A88,'業務'!$P$4:$P$200,"留保")&gt;0,"留保","対象外"),"判定保留")))))</f>
        <v/>
      </c>
    </row>
    <row r="89">
      <c r="A89" s="17" t="n"/>
      <c r="B89" s="17" t="n"/>
      <c r="C89" s="17" t="n"/>
      <c r="D89" s="41">
        <f>IF(C89="","",IFERROR(INDEX('予算シート'!$B:$B,MATCH(C89,'予算シート'!$A:$A,0)),"案件が未登録"))</f>
        <v/>
      </c>
      <c r="E89" s="17" t="n"/>
      <c r="F89" s="17" t="n"/>
      <c r="G89" s="17" t="n"/>
      <c r="H89" s="29" t="n"/>
      <c r="I89" s="29" t="n"/>
      <c r="J89" s="17" t="n"/>
      <c r="K89" s="20" t="n"/>
      <c r="L89" s="41">
        <f>IF(OR(I89="",K89=""),"",EDATE(I89,-K89))</f>
        <v/>
      </c>
      <c r="M89" s="18" t="n"/>
      <c r="N89" s="45">
        <f>IF(A89="","",COUNTIF('業務'!$M$4:$M$200,A89))</f>
        <v/>
      </c>
      <c r="O89" s="41">
        <f>IF(A89="","",IF(N89=0,"対象外",IF(COUNTIFS('業務'!$M$4:$M$200,A89,'業務'!$P$4:$P$200,"移管")=N89,"移管",IF(COUNTIFS('業務'!$M$4:$M$200,A89,'業務'!$P$4:$P$200,"移管")&gt;0,"一部",IF(COUNTIFS('業務'!$M$4:$M$200,A89,'業務'!$P$4:$P$200,"対象外")+COUNTIFS('業務'!$M$4:$M$200,A89,'業務'!$P$4:$P$200,"留保")=N89,IF(COUNTIFS('業務'!$M$4:$M$200,A89,'業務'!$P$4:$P$200,"留保")&gt;0,"留保","対象外"),"判定保留")))))</f>
        <v/>
      </c>
    </row>
    <row r="90">
      <c r="A90" s="17" t="n"/>
      <c r="B90" s="17" t="n"/>
      <c r="C90" s="17" t="n"/>
      <c r="D90" s="41">
        <f>IF(C90="","",IFERROR(INDEX('予算シート'!$B:$B,MATCH(C90,'予算シート'!$A:$A,0)),"案件が未登録"))</f>
        <v/>
      </c>
      <c r="E90" s="17" t="n"/>
      <c r="F90" s="17" t="n"/>
      <c r="G90" s="17" t="n"/>
      <c r="H90" s="29" t="n"/>
      <c r="I90" s="29" t="n"/>
      <c r="J90" s="17" t="n"/>
      <c r="K90" s="20" t="n"/>
      <c r="L90" s="41">
        <f>IF(OR(I90="",K90=""),"",EDATE(I90,-K90))</f>
        <v/>
      </c>
      <c r="M90" s="18" t="n"/>
      <c r="N90" s="45">
        <f>IF(A90="","",COUNTIF('業務'!$M$4:$M$200,A90))</f>
        <v/>
      </c>
      <c r="O90" s="41">
        <f>IF(A90="","",IF(N90=0,"対象外",IF(COUNTIFS('業務'!$M$4:$M$200,A90,'業務'!$P$4:$P$200,"移管")=N90,"移管",IF(COUNTIFS('業務'!$M$4:$M$200,A90,'業務'!$P$4:$P$200,"移管")&gt;0,"一部",IF(COUNTIFS('業務'!$M$4:$M$200,A90,'業務'!$P$4:$P$200,"対象外")+COUNTIFS('業務'!$M$4:$M$200,A90,'業務'!$P$4:$P$200,"留保")=N90,IF(COUNTIFS('業務'!$M$4:$M$200,A90,'業務'!$P$4:$P$200,"留保")&gt;0,"留保","対象外"),"判定保留")))))</f>
        <v/>
      </c>
    </row>
    <row r="91">
      <c r="A91" s="17" t="n"/>
      <c r="B91" s="17" t="n"/>
      <c r="C91" s="17" t="n"/>
      <c r="D91" s="41">
        <f>IF(C91="","",IFERROR(INDEX('予算シート'!$B:$B,MATCH(C91,'予算シート'!$A:$A,0)),"案件が未登録"))</f>
        <v/>
      </c>
      <c r="E91" s="17" t="n"/>
      <c r="F91" s="17" t="n"/>
      <c r="G91" s="17" t="n"/>
      <c r="H91" s="29" t="n"/>
      <c r="I91" s="29" t="n"/>
      <c r="J91" s="17" t="n"/>
      <c r="K91" s="20" t="n"/>
      <c r="L91" s="41">
        <f>IF(OR(I91="",K91=""),"",EDATE(I91,-K91))</f>
        <v/>
      </c>
      <c r="M91" s="18" t="n"/>
      <c r="N91" s="45">
        <f>IF(A91="","",COUNTIF('業務'!$M$4:$M$200,A91))</f>
        <v/>
      </c>
      <c r="O91" s="41">
        <f>IF(A91="","",IF(N91=0,"対象外",IF(COUNTIFS('業務'!$M$4:$M$200,A91,'業務'!$P$4:$P$200,"移管")=N91,"移管",IF(COUNTIFS('業務'!$M$4:$M$200,A91,'業務'!$P$4:$P$200,"移管")&gt;0,"一部",IF(COUNTIFS('業務'!$M$4:$M$200,A91,'業務'!$P$4:$P$200,"対象外")+COUNTIFS('業務'!$M$4:$M$200,A91,'業務'!$P$4:$P$200,"留保")=N91,IF(COUNTIFS('業務'!$M$4:$M$200,A91,'業務'!$P$4:$P$200,"留保")&gt;0,"留保","対象外"),"判定保留")))))</f>
        <v/>
      </c>
    </row>
    <row r="92">
      <c r="A92" s="17" t="n"/>
      <c r="B92" s="17" t="n"/>
      <c r="C92" s="17" t="n"/>
      <c r="D92" s="41">
        <f>IF(C92="","",IFERROR(INDEX('予算シート'!$B:$B,MATCH(C92,'予算シート'!$A:$A,0)),"案件が未登録"))</f>
        <v/>
      </c>
      <c r="E92" s="17" t="n"/>
      <c r="F92" s="17" t="n"/>
      <c r="G92" s="17" t="n"/>
      <c r="H92" s="29" t="n"/>
      <c r="I92" s="29" t="n"/>
      <c r="J92" s="17" t="n"/>
      <c r="K92" s="20" t="n"/>
      <c r="L92" s="41">
        <f>IF(OR(I92="",K92=""),"",EDATE(I92,-K92))</f>
        <v/>
      </c>
      <c r="M92" s="18" t="n"/>
      <c r="N92" s="45">
        <f>IF(A92="","",COUNTIF('業務'!$M$4:$M$200,A92))</f>
        <v/>
      </c>
      <c r="O92" s="41">
        <f>IF(A92="","",IF(N92=0,"対象外",IF(COUNTIFS('業務'!$M$4:$M$200,A92,'業務'!$P$4:$P$200,"移管")=N92,"移管",IF(COUNTIFS('業務'!$M$4:$M$200,A92,'業務'!$P$4:$P$200,"移管")&gt;0,"一部",IF(COUNTIFS('業務'!$M$4:$M$200,A92,'業務'!$P$4:$P$200,"対象外")+COUNTIFS('業務'!$M$4:$M$200,A92,'業務'!$P$4:$P$200,"留保")=N92,IF(COUNTIFS('業務'!$M$4:$M$200,A92,'業務'!$P$4:$P$200,"留保")&gt;0,"留保","対象外"),"判定保留")))))</f>
        <v/>
      </c>
    </row>
    <row r="93">
      <c r="A93" s="17" t="n"/>
      <c r="B93" s="17" t="n"/>
      <c r="C93" s="17" t="n"/>
      <c r="D93" s="41">
        <f>IF(C93="","",IFERROR(INDEX('予算シート'!$B:$B,MATCH(C93,'予算シート'!$A:$A,0)),"案件が未登録"))</f>
        <v/>
      </c>
      <c r="E93" s="17" t="n"/>
      <c r="F93" s="17" t="n"/>
      <c r="G93" s="17" t="n"/>
      <c r="H93" s="29" t="n"/>
      <c r="I93" s="29" t="n"/>
      <c r="J93" s="17" t="n"/>
      <c r="K93" s="20" t="n"/>
      <c r="L93" s="41">
        <f>IF(OR(I93="",K93=""),"",EDATE(I93,-K93))</f>
        <v/>
      </c>
      <c r="M93" s="18" t="n"/>
      <c r="N93" s="45">
        <f>IF(A93="","",COUNTIF('業務'!$M$4:$M$200,A93))</f>
        <v/>
      </c>
      <c r="O93" s="41">
        <f>IF(A93="","",IF(N93=0,"対象外",IF(COUNTIFS('業務'!$M$4:$M$200,A93,'業務'!$P$4:$P$200,"移管")=N93,"移管",IF(COUNTIFS('業務'!$M$4:$M$200,A93,'業務'!$P$4:$P$200,"移管")&gt;0,"一部",IF(COUNTIFS('業務'!$M$4:$M$200,A93,'業務'!$P$4:$P$200,"対象外")+COUNTIFS('業務'!$M$4:$M$200,A93,'業務'!$P$4:$P$200,"留保")=N93,IF(COUNTIFS('業務'!$M$4:$M$200,A93,'業務'!$P$4:$P$200,"留保")&gt;0,"留保","対象外"),"判定保留")))))</f>
        <v/>
      </c>
    </row>
    <row r="94">
      <c r="A94" s="17" t="n"/>
      <c r="B94" s="17" t="n"/>
      <c r="C94" s="17" t="n"/>
      <c r="D94" s="41">
        <f>IF(C94="","",IFERROR(INDEX('予算シート'!$B:$B,MATCH(C94,'予算シート'!$A:$A,0)),"案件が未登録"))</f>
        <v/>
      </c>
      <c r="E94" s="17" t="n"/>
      <c r="F94" s="17" t="n"/>
      <c r="G94" s="17" t="n"/>
      <c r="H94" s="29" t="n"/>
      <c r="I94" s="29" t="n"/>
      <c r="J94" s="17" t="n"/>
      <c r="K94" s="20" t="n"/>
      <c r="L94" s="41">
        <f>IF(OR(I94="",K94=""),"",EDATE(I94,-K94))</f>
        <v/>
      </c>
      <c r="M94" s="18" t="n"/>
      <c r="N94" s="45">
        <f>IF(A94="","",COUNTIF('業務'!$M$4:$M$200,A94))</f>
        <v/>
      </c>
      <c r="O94" s="41">
        <f>IF(A94="","",IF(N94=0,"対象外",IF(COUNTIFS('業務'!$M$4:$M$200,A94,'業務'!$P$4:$P$200,"移管")=N94,"移管",IF(COUNTIFS('業務'!$M$4:$M$200,A94,'業務'!$P$4:$P$200,"移管")&gt;0,"一部",IF(COUNTIFS('業務'!$M$4:$M$200,A94,'業務'!$P$4:$P$200,"対象外")+COUNTIFS('業務'!$M$4:$M$200,A94,'業務'!$P$4:$P$200,"留保")=N94,IF(COUNTIFS('業務'!$M$4:$M$200,A94,'業務'!$P$4:$P$200,"留保")&gt;0,"留保","対象外"),"判定保留")))))</f>
        <v/>
      </c>
    </row>
    <row r="95">
      <c r="A95" s="17" t="n"/>
      <c r="B95" s="17" t="n"/>
      <c r="C95" s="17" t="n"/>
      <c r="D95" s="41">
        <f>IF(C95="","",IFERROR(INDEX('予算シート'!$B:$B,MATCH(C95,'予算シート'!$A:$A,0)),"案件が未登録"))</f>
        <v/>
      </c>
      <c r="E95" s="17" t="n"/>
      <c r="F95" s="17" t="n"/>
      <c r="G95" s="17" t="n"/>
      <c r="H95" s="29" t="n"/>
      <c r="I95" s="29" t="n"/>
      <c r="J95" s="17" t="n"/>
      <c r="K95" s="20" t="n"/>
      <c r="L95" s="41">
        <f>IF(OR(I95="",K95=""),"",EDATE(I95,-K95))</f>
        <v/>
      </c>
      <c r="M95" s="18" t="n"/>
      <c r="N95" s="45">
        <f>IF(A95="","",COUNTIF('業務'!$M$4:$M$200,A95))</f>
        <v/>
      </c>
      <c r="O95" s="41">
        <f>IF(A95="","",IF(N95=0,"対象外",IF(COUNTIFS('業務'!$M$4:$M$200,A95,'業務'!$P$4:$P$200,"移管")=N95,"移管",IF(COUNTIFS('業務'!$M$4:$M$200,A95,'業務'!$P$4:$P$200,"移管")&gt;0,"一部",IF(COUNTIFS('業務'!$M$4:$M$200,A95,'業務'!$P$4:$P$200,"対象外")+COUNTIFS('業務'!$M$4:$M$200,A95,'業務'!$P$4:$P$200,"留保")=N95,IF(COUNTIFS('業務'!$M$4:$M$200,A95,'業務'!$P$4:$P$200,"留保")&gt;0,"留保","対象外"),"判定保留")))))</f>
        <v/>
      </c>
    </row>
    <row r="96">
      <c r="A96" s="17" t="n"/>
      <c r="B96" s="17" t="n"/>
      <c r="C96" s="17" t="n"/>
      <c r="D96" s="41">
        <f>IF(C96="","",IFERROR(INDEX('予算シート'!$B:$B,MATCH(C96,'予算シート'!$A:$A,0)),"案件が未登録"))</f>
        <v/>
      </c>
      <c r="E96" s="17" t="n"/>
      <c r="F96" s="17" t="n"/>
      <c r="G96" s="17" t="n"/>
      <c r="H96" s="29" t="n"/>
      <c r="I96" s="29" t="n"/>
      <c r="J96" s="17" t="n"/>
      <c r="K96" s="20" t="n"/>
      <c r="L96" s="41">
        <f>IF(OR(I96="",K96=""),"",EDATE(I96,-K96))</f>
        <v/>
      </c>
      <c r="M96" s="18" t="n"/>
      <c r="N96" s="45">
        <f>IF(A96="","",COUNTIF('業務'!$M$4:$M$200,A96))</f>
        <v/>
      </c>
      <c r="O96" s="41">
        <f>IF(A96="","",IF(N96=0,"対象外",IF(COUNTIFS('業務'!$M$4:$M$200,A96,'業務'!$P$4:$P$200,"移管")=N96,"移管",IF(COUNTIFS('業務'!$M$4:$M$200,A96,'業務'!$P$4:$P$200,"移管")&gt;0,"一部",IF(COUNTIFS('業務'!$M$4:$M$200,A96,'業務'!$P$4:$P$200,"対象外")+COUNTIFS('業務'!$M$4:$M$200,A96,'業務'!$P$4:$P$200,"留保")=N96,IF(COUNTIFS('業務'!$M$4:$M$200,A96,'業務'!$P$4:$P$200,"留保")&gt;0,"留保","対象外"),"判定保留")))))</f>
        <v/>
      </c>
    </row>
    <row r="97">
      <c r="A97" s="17" t="n"/>
      <c r="B97" s="17" t="n"/>
      <c r="C97" s="17" t="n"/>
      <c r="D97" s="41">
        <f>IF(C97="","",IFERROR(INDEX('予算シート'!$B:$B,MATCH(C97,'予算シート'!$A:$A,0)),"案件が未登録"))</f>
        <v/>
      </c>
      <c r="E97" s="17" t="n"/>
      <c r="F97" s="17" t="n"/>
      <c r="G97" s="17" t="n"/>
      <c r="H97" s="29" t="n"/>
      <c r="I97" s="29" t="n"/>
      <c r="J97" s="17" t="n"/>
      <c r="K97" s="20" t="n"/>
      <c r="L97" s="41">
        <f>IF(OR(I97="",K97=""),"",EDATE(I97,-K97))</f>
        <v/>
      </c>
      <c r="M97" s="18" t="n"/>
      <c r="N97" s="45">
        <f>IF(A97="","",COUNTIF('業務'!$M$4:$M$200,A97))</f>
        <v/>
      </c>
      <c r="O97" s="41">
        <f>IF(A97="","",IF(N97=0,"対象外",IF(COUNTIFS('業務'!$M$4:$M$200,A97,'業務'!$P$4:$P$200,"移管")=N97,"移管",IF(COUNTIFS('業務'!$M$4:$M$200,A97,'業務'!$P$4:$P$200,"移管")&gt;0,"一部",IF(COUNTIFS('業務'!$M$4:$M$200,A97,'業務'!$P$4:$P$200,"対象外")+COUNTIFS('業務'!$M$4:$M$200,A97,'業務'!$P$4:$P$200,"留保")=N97,IF(COUNTIFS('業務'!$M$4:$M$200,A97,'業務'!$P$4:$P$200,"留保")&gt;0,"留保","対象外"),"判定保留")))))</f>
        <v/>
      </c>
    </row>
    <row r="98">
      <c r="A98" s="17" t="n"/>
      <c r="B98" s="17" t="n"/>
      <c r="C98" s="17" t="n"/>
      <c r="D98" s="41">
        <f>IF(C98="","",IFERROR(INDEX('予算シート'!$B:$B,MATCH(C98,'予算シート'!$A:$A,0)),"案件が未登録"))</f>
        <v/>
      </c>
      <c r="E98" s="17" t="n"/>
      <c r="F98" s="17" t="n"/>
      <c r="G98" s="17" t="n"/>
      <c r="H98" s="29" t="n"/>
      <c r="I98" s="29" t="n"/>
      <c r="J98" s="17" t="n"/>
      <c r="K98" s="20" t="n"/>
      <c r="L98" s="41">
        <f>IF(OR(I98="",K98=""),"",EDATE(I98,-K98))</f>
        <v/>
      </c>
      <c r="M98" s="18" t="n"/>
      <c r="N98" s="45">
        <f>IF(A98="","",COUNTIF('業務'!$M$4:$M$200,A98))</f>
        <v/>
      </c>
      <c r="O98" s="41">
        <f>IF(A98="","",IF(N98=0,"対象外",IF(COUNTIFS('業務'!$M$4:$M$200,A98,'業務'!$P$4:$P$200,"移管")=N98,"移管",IF(COUNTIFS('業務'!$M$4:$M$200,A98,'業務'!$P$4:$P$200,"移管")&gt;0,"一部",IF(COUNTIFS('業務'!$M$4:$M$200,A98,'業務'!$P$4:$P$200,"対象外")+COUNTIFS('業務'!$M$4:$M$200,A98,'業務'!$P$4:$P$200,"留保")=N98,IF(COUNTIFS('業務'!$M$4:$M$200,A98,'業務'!$P$4:$P$200,"留保")&gt;0,"留保","対象外"),"判定保留")))))</f>
        <v/>
      </c>
    </row>
    <row r="99">
      <c r="A99" s="17" t="n"/>
      <c r="B99" s="17" t="n"/>
      <c r="C99" s="17" t="n"/>
      <c r="D99" s="41">
        <f>IF(C99="","",IFERROR(INDEX('予算シート'!$B:$B,MATCH(C99,'予算シート'!$A:$A,0)),"案件が未登録"))</f>
        <v/>
      </c>
      <c r="E99" s="17" t="n"/>
      <c r="F99" s="17" t="n"/>
      <c r="G99" s="17" t="n"/>
      <c r="H99" s="29" t="n"/>
      <c r="I99" s="29" t="n"/>
      <c r="J99" s="17" t="n"/>
      <c r="K99" s="20" t="n"/>
      <c r="L99" s="41">
        <f>IF(OR(I99="",K99=""),"",EDATE(I99,-K99))</f>
        <v/>
      </c>
      <c r="M99" s="18" t="n"/>
      <c r="N99" s="45">
        <f>IF(A99="","",COUNTIF('業務'!$M$4:$M$200,A99))</f>
        <v/>
      </c>
      <c r="O99" s="41">
        <f>IF(A99="","",IF(N99=0,"対象外",IF(COUNTIFS('業務'!$M$4:$M$200,A99,'業務'!$P$4:$P$200,"移管")=N99,"移管",IF(COUNTIFS('業務'!$M$4:$M$200,A99,'業務'!$P$4:$P$200,"移管")&gt;0,"一部",IF(COUNTIFS('業務'!$M$4:$M$200,A99,'業務'!$P$4:$P$200,"対象外")+COUNTIFS('業務'!$M$4:$M$200,A99,'業務'!$P$4:$P$200,"留保")=N99,IF(COUNTIFS('業務'!$M$4:$M$200,A99,'業務'!$P$4:$P$200,"留保")&gt;0,"留保","対象外"),"判定保留")))))</f>
        <v/>
      </c>
    </row>
    <row r="100">
      <c r="A100" s="17" t="n"/>
      <c r="B100" s="17" t="n"/>
      <c r="C100" s="17" t="n"/>
      <c r="D100" s="41">
        <f>IF(C100="","",IFERROR(INDEX('予算シート'!$B:$B,MATCH(C100,'予算シート'!$A:$A,0)),"案件が未登録"))</f>
        <v/>
      </c>
      <c r="E100" s="17" t="n"/>
      <c r="F100" s="17" t="n"/>
      <c r="G100" s="17" t="n"/>
      <c r="H100" s="29" t="n"/>
      <c r="I100" s="29" t="n"/>
      <c r="J100" s="17" t="n"/>
      <c r="K100" s="20" t="n"/>
      <c r="L100" s="41">
        <f>IF(OR(I100="",K100=""),"",EDATE(I100,-K100))</f>
        <v/>
      </c>
      <c r="M100" s="18" t="n"/>
      <c r="N100" s="45">
        <f>IF(A100="","",COUNTIF('業務'!$M$4:$M$200,A100))</f>
        <v/>
      </c>
      <c r="O100" s="41">
        <f>IF(A100="","",IF(N100=0,"対象外",IF(COUNTIFS('業務'!$M$4:$M$200,A100,'業務'!$P$4:$P$200,"移管")=N100,"移管",IF(COUNTIFS('業務'!$M$4:$M$200,A100,'業務'!$P$4:$P$200,"移管")&gt;0,"一部",IF(COUNTIFS('業務'!$M$4:$M$200,A100,'業務'!$P$4:$P$200,"対象外")+COUNTIFS('業務'!$M$4:$M$200,A100,'業務'!$P$4:$P$200,"留保")=N100,IF(COUNTIFS('業務'!$M$4:$M$200,A100,'業務'!$P$4:$P$200,"留保")&gt;0,"留保","対象外"),"判定保留")))))</f>
        <v/>
      </c>
    </row>
    <row r="101">
      <c r="A101" s="17" t="n"/>
      <c r="B101" s="17" t="n"/>
      <c r="C101" s="17" t="n"/>
      <c r="D101" s="41">
        <f>IF(C101="","",IFERROR(INDEX('予算シート'!$B:$B,MATCH(C101,'予算シート'!$A:$A,0)),"案件が未登録"))</f>
        <v/>
      </c>
      <c r="E101" s="17" t="n"/>
      <c r="F101" s="17" t="n"/>
      <c r="G101" s="17" t="n"/>
      <c r="H101" s="29" t="n"/>
      <c r="I101" s="29" t="n"/>
      <c r="J101" s="17" t="n"/>
      <c r="K101" s="20" t="n"/>
      <c r="L101" s="41">
        <f>IF(OR(I101="",K101=""),"",EDATE(I101,-K101))</f>
        <v/>
      </c>
      <c r="M101" s="18" t="n"/>
      <c r="N101" s="45">
        <f>IF(A101="","",COUNTIF('業務'!$M$4:$M$200,A101))</f>
        <v/>
      </c>
      <c r="O101" s="41">
        <f>IF(A101="","",IF(N101=0,"対象外",IF(COUNTIFS('業務'!$M$4:$M$200,A101,'業務'!$P$4:$P$200,"移管")=N101,"移管",IF(COUNTIFS('業務'!$M$4:$M$200,A101,'業務'!$P$4:$P$200,"移管")&gt;0,"一部",IF(COUNTIFS('業務'!$M$4:$M$200,A101,'業務'!$P$4:$P$200,"対象外")+COUNTIFS('業務'!$M$4:$M$200,A101,'業務'!$P$4:$P$200,"留保")=N101,IF(COUNTIFS('業務'!$M$4:$M$200,A101,'業務'!$P$4:$P$200,"留保")&gt;0,"留保","対象外"),"判定保留")))))</f>
        <v/>
      </c>
    </row>
    <row r="102">
      <c r="A102" s="17" t="n"/>
      <c r="B102" s="17" t="n"/>
      <c r="C102" s="17" t="n"/>
      <c r="D102" s="41">
        <f>IF(C102="","",IFERROR(INDEX('予算シート'!$B:$B,MATCH(C102,'予算シート'!$A:$A,0)),"案件が未登録"))</f>
        <v/>
      </c>
      <c r="E102" s="17" t="n"/>
      <c r="F102" s="17" t="n"/>
      <c r="G102" s="17" t="n"/>
      <c r="H102" s="29" t="n"/>
      <c r="I102" s="29" t="n"/>
      <c r="J102" s="17" t="n"/>
      <c r="K102" s="20" t="n"/>
      <c r="L102" s="41">
        <f>IF(OR(I102="",K102=""),"",EDATE(I102,-K102))</f>
        <v/>
      </c>
      <c r="M102" s="18" t="n"/>
      <c r="N102" s="45">
        <f>IF(A102="","",COUNTIF('業務'!$M$4:$M$200,A102))</f>
        <v/>
      </c>
      <c r="O102" s="41">
        <f>IF(A102="","",IF(N102=0,"対象外",IF(COUNTIFS('業務'!$M$4:$M$200,A102,'業務'!$P$4:$P$200,"移管")=N102,"移管",IF(COUNTIFS('業務'!$M$4:$M$200,A102,'業務'!$P$4:$P$200,"移管")&gt;0,"一部",IF(COUNTIFS('業務'!$M$4:$M$200,A102,'業務'!$P$4:$P$200,"対象外")+COUNTIFS('業務'!$M$4:$M$200,A102,'業務'!$P$4:$P$200,"留保")=N102,IF(COUNTIFS('業務'!$M$4:$M$200,A102,'業務'!$P$4:$P$200,"留保")&gt;0,"留保","対象外"),"判定保留")))))</f>
        <v/>
      </c>
    </row>
    <row r="103">
      <c r="A103" s="17" t="n"/>
      <c r="B103" s="17" t="n"/>
      <c r="C103" s="17" t="n"/>
      <c r="D103" s="41">
        <f>IF(C103="","",IFERROR(INDEX('予算シート'!$B:$B,MATCH(C103,'予算シート'!$A:$A,0)),"案件が未登録"))</f>
        <v/>
      </c>
      <c r="E103" s="17" t="n"/>
      <c r="F103" s="17" t="n"/>
      <c r="G103" s="17" t="n"/>
      <c r="H103" s="29" t="n"/>
      <c r="I103" s="29" t="n"/>
      <c r="J103" s="17" t="n"/>
      <c r="K103" s="20" t="n"/>
      <c r="L103" s="41">
        <f>IF(OR(I103="",K103=""),"",EDATE(I103,-K103))</f>
        <v/>
      </c>
      <c r="M103" s="18" t="n"/>
      <c r="N103" s="45">
        <f>IF(A103="","",COUNTIF('業務'!$M$4:$M$200,A103))</f>
        <v/>
      </c>
      <c r="O103" s="41">
        <f>IF(A103="","",IF(N103=0,"対象外",IF(COUNTIFS('業務'!$M$4:$M$200,A103,'業務'!$P$4:$P$200,"移管")=N103,"移管",IF(COUNTIFS('業務'!$M$4:$M$200,A103,'業務'!$P$4:$P$200,"移管")&gt;0,"一部",IF(COUNTIFS('業務'!$M$4:$M$200,A103,'業務'!$P$4:$P$200,"対象外")+COUNTIFS('業務'!$M$4:$M$200,A103,'業務'!$P$4:$P$200,"留保")=N103,IF(COUNTIFS('業務'!$M$4:$M$200,A103,'業務'!$P$4:$P$200,"留保")&gt;0,"留保","対象外"),"判定保留")))))</f>
        <v/>
      </c>
    </row>
    <row r="104">
      <c r="A104" s="17" t="n"/>
      <c r="B104" s="17" t="n"/>
      <c r="C104" s="17" t="n"/>
      <c r="D104" s="41">
        <f>IF(C104="","",IFERROR(INDEX('予算シート'!$B:$B,MATCH(C104,'予算シート'!$A:$A,0)),"案件が未登録"))</f>
        <v/>
      </c>
      <c r="E104" s="17" t="n"/>
      <c r="F104" s="17" t="n"/>
      <c r="G104" s="17" t="n"/>
      <c r="H104" s="29" t="n"/>
      <c r="I104" s="29" t="n"/>
      <c r="J104" s="17" t="n"/>
      <c r="K104" s="20" t="n"/>
      <c r="L104" s="41">
        <f>IF(OR(I104="",K104=""),"",EDATE(I104,-K104))</f>
        <v/>
      </c>
      <c r="M104" s="18" t="n"/>
      <c r="N104" s="45">
        <f>IF(A104="","",COUNTIF('業務'!$M$4:$M$200,A104))</f>
        <v/>
      </c>
      <c r="O104" s="41">
        <f>IF(A104="","",IF(N104=0,"対象外",IF(COUNTIFS('業務'!$M$4:$M$200,A104,'業務'!$P$4:$P$200,"移管")=N104,"移管",IF(COUNTIFS('業務'!$M$4:$M$200,A104,'業務'!$P$4:$P$200,"移管")&gt;0,"一部",IF(COUNTIFS('業務'!$M$4:$M$200,A104,'業務'!$P$4:$P$200,"対象外")+COUNTIFS('業務'!$M$4:$M$200,A104,'業務'!$P$4:$P$200,"留保")=N104,IF(COUNTIFS('業務'!$M$4:$M$200,A104,'業務'!$P$4:$P$200,"留保")&gt;0,"留保","対象外"),"判定保留")))))</f>
        <v/>
      </c>
    </row>
    <row r="105">
      <c r="A105" s="17" t="n"/>
      <c r="B105" s="17" t="n"/>
      <c r="C105" s="17" t="n"/>
      <c r="D105" s="41">
        <f>IF(C105="","",IFERROR(INDEX('予算シート'!$B:$B,MATCH(C105,'予算シート'!$A:$A,0)),"案件が未登録"))</f>
        <v/>
      </c>
      <c r="E105" s="17" t="n"/>
      <c r="F105" s="17" t="n"/>
      <c r="G105" s="17" t="n"/>
      <c r="H105" s="29" t="n"/>
      <c r="I105" s="29" t="n"/>
      <c r="J105" s="17" t="n"/>
      <c r="K105" s="20" t="n"/>
      <c r="L105" s="41">
        <f>IF(OR(I105="",K105=""),"",EDATE(I105,-K105))</f>
        <v/>
      </c>
      <c r="M105" s="18" t="n"/>
      <c r="N105" s="45">
        <f>IF(A105="","",COUNTIF('業務'!$M$4:$M$200,A105))</f>
        <v/>
      </c>
      <c r="O105" s="41">
        <f>IF(A105="","",IF(N105=0,"対象外",IF(COUNTIFS('業務'!$M$4:$M$200,A105,'業務'!$P$4:$P$200,"移管")=N105,"移管",IF(COUNTIFS('業務'!$M$4:$M$200,A105,'業務'!$P$4:$P$200,"移管")&gt;0,"一部",IF(COUNTIFS('業務'!$M$4:$M$200,A105,'業務'!$P$4:$P$200,"対象外")+COUNTIFS('業務'!$M$4:$M$200,A105,'業務'!$P$4:$P$200,"留保")=N105,IF(COUNTIFS('業務'!$M$4:$M$200,A105,'業務'!$P$4:$P$200,"留保")&gt;0,"留保","対象外"),"判定保留")))))</f>
        <v/>
      </c>
    </row>
    <row r="106">
      <c r="A106" s="17" t="n"/>
      <c r="B106" s="17" t="n"/>
      <c r="C106" s="17" t="n"/>
      <c r="D106" s="41">
        <f>IF(C106="","",IFERROR(INDEX('予算シート'!$B:$B,MATCH(C106,'予算シート'!$A:$A,0)),"案件が未登録"))</f>
        <v/>
      </c>
      <c r="E106" s="17" t="n"/>
      <c r="F106" s="17" t="n"/>
      <c r="G106" s="17" t="n"/>
      <c r="H106" s="29" t="n"/>
      <c r="I106" s="29" t="n"/>
      <c r="J106" s="17" t="n"/>
      <c r="K106" s="20" t="n"/>
      <c r="L106" s="41">
        <f>IF(OR(I106="",K106=""),"",EDATE(I106,-K106))</f>
        <v/>
      </c>
      <c r="M106" s="18" t="n"/>
      <c r="N106" s="45">
        <f>IF(A106="","",COUNTIF('業務'!$M$4:$M$200,A106))</f>
        <v/>
      </c>
      <c r="O106" s="41">
        <f>IF(A106="","",IF(N106=0,"対象外",IF(COUNTIFS('業務'!$M$4:$M$200,A106,'業務'!$P$4:$P$200,"移管")=N106,"移管",IF(COUNTIFS('業務'!$M$4:$M$200,A106,'業務'!$P$4:$P$200,"移管")&gt;0,"一部",IF(COUNTIFS('業務'!$M$4:$M$200,A106,'業務'!$P$4:$P$200,"対象外")+COUNTIFS('業務'!$M$4:$M$200,A106,'業務'!$P$4:$P$200,"留保")=N106,IF(COUNTIFS('業務'!$M$4:$M$200,A106,'業務'!$P$4:$P$200,"留保")&gt;0,"留保","対象外"),"判定保留")))))</f>
        <v/>
      </c>
    </row>
    <row r="107">
      <c r="A107" s="17" t="n"/>
      <c r="B107" s="17" t="n"/>
      <c r="C107" s="17" t="n"/>
      <c r="D107" s="41">
        <f>IF(C107="","",IFERROR(INDEX('予算シート'!$B:$B,MATCH(C107,'予算シート'!$A:$A,0)),"案件が未登録"))</f>
        <v/>
      </c>
      <c r="E107" s="17" t="n"/>
      <c r="F107" s="17" t="n"/>
      <c r="G107" s="17" t="n"/>
      <c r="H107" s="29" t="n"/>
      <c r="I107" s="29" t="n"/>
      <c r="J107" s="17" t="n"/>
      <c r="K107" s="20" t="n"/>
      <c r="L107" s="41">
        <f>IF(OR(I107="",K107=""),"",EDATE(I107,-K107))</f>
        <v/>
      </c>
      <c r="M107" s="18" t="n"/>
      <c r="N107" s="45">
        <f>IF(A107="","",COUNTIF('業務'!$M$4:$M$200,A107))</f>
        <v/>
      </c>
      <c r="O107" s="41">
        <f>IF(A107="","",IF(N107=0,"対象外",IF(COUNTIFS('業務'!$M$4:$M$200,A107,'業務'!$P$4:$P$200,"移管")=N107,"移管",IF(COUNTIFS('業務'!$M$4:$M$200,A107,'業務'!$P$4:$P$200,"移管")&gt;0,"一部",IF(COUNTIFS('業務'!$M$4:$M$200,A107,'業務'!$P$4:$P$200,"対象外")+COUNTIFS('業務'!$M$4:$M$200,A107,'業務'!$P$4:$P$200,"留保")=N107,IF(COUNTIFS('業務'!$M$4:$M$200,A107,'業務'!$P$4:$P$200,"留保")&gt;0,"留保","対象外"),"判定保留")))))</f>
        <v/>
      </c>
    </row>
    <row r="108">
      <c r="A108" s="17" t="n"/>
      <c r="B108" s="17" t="n"/>
      <c r="C108" s="17" t="n"/>
      <c r="D108" s="41">
        <f>IF(C108="","",IFERROR(INDEX('予算シート'!$B:$B,MATCH(C108,'予算シート'!$A:$A,0)),"案件が未登録"))</f>
        <v/>
      </c>
      <c r="E108" s="17" t="n"/>
      <c r="F108" s="17" t="n"/>
      <c r="G108" s="17" t="n"/>
      <c r="H108" s="29" t="n"/>
      <c r="I108" s="29" t="n"/>
      <c r="J108" s="17" t="n"/>
      <c r="K108" s="20" t="n"/>
      <c r="L108" s="41">
        <f>IF(OR(I108="",K108=""),"",EDATE(I108,-K108))</f>
        <v/>
      </c>
      <c r="M108" s="18" t="n"/>
      <c r="N108" s="45">
        <f>IF(A108="","",COUNTIF('業務'!$M$4:$M$200,A108))</f>
        <v/>
      </c>
      <c r="O108" s="41">
        <f>IF(A108="","",IF(N108=0,"対象外",IF(COUNTIFS('業務'!$M$4:$M$200,A108,'業務'!$P$4:$P$200,"移管")=N108,"移管",IF(COUNTIFS('業務'!$M$4:$M$200,A108,'業務'!$P$4:$P$200,"移管")&gt;0,"一部",IF(COUNTIFS('業務'!$M$4:$M$200,A108,'業務'!$P$4:$P$200,"対象外")+COUNTIFS('業務'!$M$4:$M$200,A108,'業務'!$P$4:$P$200,"留保")=N108,IF(COUNTIFS('業務'!$M$4:$M$200,A108,'業務'!$P$4:$P$200,"留保")&gt;0,"留保","対象外"),"判定保留")))))</f>
        <v/>
      </c>
    </row>
    <row r="109">
      <c r="A109" s="17" t="n"/>
      <c r="B109" s="17" t="n"/>
      <c r="C109" s="17" t="n"/>
      <c r="D109" s="41">
        <f>IF(C109="","",IFERROR(INDEX('予算シート'!$B:$B,MATCH(C109,'予算シート'!$A:$A,0)),"案件が未登録"))</f>
        <v/>
      </c>
      <c r="E109" s="17" t="n"/>
      <c r="F109" s="17" t="n"/>
      <c r="G109" s="17" t="n"/>
      <c r="H109" s="29" t="n"/>
      <c r="I109" s="29" t="n"/>
      <c r="J109" s="17" t="n"/>
      <c r="K109" s="20" t="n"/>
      <c r="L109" s="41">
        <f>IF(OR(I109="",K109=""),"",EDATE(I109,-K109))</f>
        <v/>
      </c>
      <c r="M109" s="18" t="n"/>
      <c r="N109" s="45">
        <f>IF(A109="","",COUNTIF('業務'!$M$4:$M$200,A109))</f>
        <v/>
      </c>
      <c r="O109" s="41">
        <f>IF(A109="","",IF(N109=0,"対象外",IF(COUNTIFS('業務'!$M$4:$M$200,A109,'業務'!$P$4:$P$200,"移管")=N109,"移管",IF(COUNTIFS('業務'!$M$4:$M$200,A109,'業務'!$P$4:$P$200,"移管")&gt;0,"一部",IF(COUNTIFS('業務'!$M$4:$M$200,A109,'業務'!$P$4:$P$200,"対象外")+COUNTIFS('業務'!$M$4:$M$200,A109,'業務'!$P$4:$P$200,"留保")=N109,IF(COUNTIFS('業務'!$M$4:$M$200,A109,'業務'!$P$4:$P$200,"留保")&gt;0,"留保","対象外"),"判定保留")))))</f>
        <v/>
      </c>
    </row>
    <row r="110">
      <c r="A110" s="17" t="n"/>
      <c r="B110" s="17" t="n"/>
      <c r="C110" s="17" t="n"/>
      <c r="D110" s="41">
        <f>IF(C110="","",IFERROR(INDEX('予算シート'!$B:$B,MATCH(C110,'予算シート'!$A:$A,0)),"案件が未登録"))</f>
        <v/>
      </c>
      <c r="E110" s="17" t="n"/>
      <c r="F110" s="17" t="n"/>
      <c r="G110" s="17" t="n"/>
      <c r="H110" s="29" t="n"/>
      <c r="I110" s="29" t="n"/>
      <c r="J110" s="17" t="n"/>
      <c r="K110" s="20" t="n"/>
      <c r="L110" s="41">
        <f>IF(OR(I110="",K110=""),"",EDATE(I110,-K110))</f>
        <v/>
      </c>
      <c r="M110" s="18" t="n"/>
      <c r="N110" s="45">
        <f>IF(A110="","",COUNTIF('業務'!$M$4:$M$200,A110))</f>
        <v/>
      </c>
      <c r="O110" s="41">
        <f>IF(A110="","",IF(N110=0,"対象外",IF(COUNTIFS('業務'!$M$4:$M$200,A110,'業務'!$P$4:$P$200,"移管")=N110,"移管",IF(COUNTIFS('業務'!$M$4:$M$200,A110,'業務'!$P$4:$P$200,"移管")&gt;0,"一部",IF(COUNTIFS('業務'!$M$4:$M$200,A110,'業務'!$P$4:$P$200,"対象外")+COUNTIFS('業務'!$M$4:$M$200,A110,'業務'!$P$4:$P$200,"留保")=N110,IF(COUNTIFS('業務'!$M$4:$M$200,A110,'業務'!$P$4:$P$200,"留保")&gt;0,"留保","対象外"),"判定保留")))))</f>
        <v/>
      </c>
    </row>
    <row r="111">
      <c r="A111" s="17" t="n"/>
      <c r="B111" s="17" t="n"/>
      <c r="C111" s="17" t="n"/>
      <c r="D111" s="41">
        <f>IF(C111="","",IFERROR(INDEX('予算シート'!$B:$B,MATCH(C111,'予算シート'!$A:$A,0)),"案件が未登録"))</f>
        <v/>
      </c>
      <c r="E111" s="17" t="n"/>
      <c r="F111" s="17" t="n"/>
      <c r="G111" s="17" t="n"/>
      <c r="H111" s="29" t="n"/>
      <c r="I111" s="29" t="n"/>
      <c r="J111" s="17" t="n"/>
      <c r="K111" s="20" t="n"/>
      <c r="L111" s="41">
        <f>IF(OR(I111="",K111=""),"",EDATE(I111,-K111))</f>
        <v/>
      </c>
      <c r="M111" s="18" t="n"/>
      <c r="N111" s="45">
        <f>IF(A111="","",COUNTIF('業務'!$M$4:$M$200,A111))</f>
        <v/>
      </c>
      <c r="O111" s="41">
        <f>IF(A111="","",IF(N111=0,"対象外",IF(COUNTIFS('業務'!$M$4:$M$200,A111,'業務'!$P$4:$P$200,"移管")=N111,"移管",IF(COUNTIFS('業務'!$M$4:$M$200,A111,'業務'!$P$4:$P$200,"移管")&gt;0,"一部",IF(COUNTIFS('業務'!$M$4:$M$200,A111,'業務'!$P$4:$P$200,"対象外")+COUNTIFS('業務'!$M$4:$M$200,A111,'業務'!$P$4:$P$200,"留保")=N111,IF(COUNTIFS('業務'!$M$4:$M$200,A111,'業務'!$P$4:$P$200,"留保")&gt;0,"留保","対象外"),"判定保留")))))</f>
        <v/>
      </c>
    </row>
    <row r="112">
      <c r="A112" s="17" t="n"/>
      <c r="B112" s="17" t="n"/>
      <c r="C112" s="17" t="n"/>
      <c r="D112" s="41">
        <f>IF(C112="","",IFERROR(INDEX('予算シート'!$B:$B,MATCH(C112,'予算シート'!$A:$A,0)),"案件が未登録"))</f>
        <v/>
      </c>
      <c r="E112" s="17" t="n"/>
      <c r="F112" s="17" t="n"/>
      <c r="G112" s="17" t="n"/>
      <c r="H112" s="29" t="n"/>
      <c r="I112" s="29" t="n"/>
      <c r="J112" s="17" t="n"/>
      <c r="K112" s="20" t="n"/>
      <c r="L112" s="41">
        <f>IF(OR(I112="",K112=""),"",EDATE(I112,-K112))</f>
        <v/>
      </c>
      <c r="M112" s="18" t="n"/>
      <c r="N112" s="45">
        <f>IF(A112="","",COUNTIF('業務'!$M$4:$M$200,A112))</f>
        <v/>
      </c>
      <c r="O112" s="41">
        <f>IF(A112="","",IF(N112=0,"対象外",IF(COUNTIFS('業務'!$M$4:$M$200,A112,'業務'!$P$4:$P$200,"移管")=N112,"移管",IF(COUNTIFS('業務'!$M$4:$M$200,A112,'業務'!$P$4:$P$200,"移管")&gt;0,"一部",IF(COUNTIFS('業務'!$M$4:$M$200,A112,'業務'!$P$4:$P$200,"対象外")+COUNTIFS('業務'!$M$4:$M$200,A112,'業務'!$P$4:$P$200,"留保")=N112,IF(COUNTIFS('業務'!$M$4:$M$200,A112,'業務'!$P$4:$P$200,"留保")&gt;0,"留保","対象外"),"判定保留")))))</f>
        <v/>
      </c>
    </row>
    <row r="113">
      <c r="A113" s="17" t="n"/>
      <c r="B113" s="17" t="n"/>
      <c r="C113" s="17" t="n"/>
      <c r="D113" s="41">
        <f>IF(C113="","",IFERROR(INDEX('予算シート'!$B:$B,MATCH(C113,'予算シート'!$A:$A,0)),"案件が未登録"))</f>
        <v/>
      </c>
      <c r="E113" s="17" t="n"/>
      <c r="F113" s="17" t="n"/>
      <c r="G113" s="17" t="n"/>
      <c r="H113" s="29" t="n"/>
      <c r="I113" s="29" t="n"/>
      <c r="J113" s="17" t="n"/>
      <c r="K113" s="20" t="n"/>
      <c r="L113" s="41">
        <f>IF(OR(I113="",K113=""),"",EDATE(I113,-K113))</f>
        <v/>
      </c>
      <c r="M113" s="18" t="n"/>
      <c r="N113" s="45">
        <f>IF(A113="","",COUNTIF('業務'!$M$4:$M$200,A113))</f>
        <v/>
      </c>
      <c r="O113" s="41">
        <f>IF(A113="","",IF(N113=0,"対象外",IF(COUNTIFS('業務'!$M$4:$M$200,A113,'業務'!$P$4:$P$200,"移管")=N113,"移管",IF(COUNTIFS('業務'!$M$4:$M$200,A113,'業務'!$P$4:$P$200,"移管")&gt;0,"一部",IF(COUNTIFS('業務'!$M$4:$M$200,A113,'業務'!$P$4:$P$200,"対象外")+COUNTIFS('業務'!$M$4:$M$200,A113,'業務'!$P$4:$P$200,"留保")=N113,IF(COUNTIFS('業務'!$M$4:$M$200,A113,'業務'!$P$4:$P$200,"留保")&gt;0,"留保","対象外"),"判定保留")))))</f>
        <v/>
      </c>
    </row>
    <row r="114">
      <c r="A114" s="17" t="n"/>
      <c r="B114" s="17" t="n"/>
      <c r="C114" s="17" t="n"/>
      <c r="D114" s="41">
        <f>IF(C114="","",IFERROR(INDEX('予算シート'!$B:$B,MATCH(C114,'予算シート'!$A:$A,0)),"案件が未登録"))</f>
        <v/>
      </c>
      <c r="E114" s="17" t="n"/>
      <c r="F114" s="17" t="n"/>
      <c r="G114" s="17" t="n"/>
      <c r="H114" s="29" t="n"/>
      <c r="I114" s="29" t="n"/>
      <c r="J114" s="17" t="n"/>
      <c r="K114" s="20" t="n"/>
      <c r="L114" s="41">
        <f>IF(OR(I114="",K114=""),"",EDATE(I114,-K114))</f>
        <v/>
      </c>
      <c r="M114" s="18" t="n"/>
      <c r="N114" s="45">
        <f>IF(A114="","",COUNTIF('業務'!$M$4:$M$200,A114))</f>
        <v/>
      </c>
      <c r="O114" s="41">
        <f>IF(A114="","",IF(N114=0,"対象外",IF(COUNTIFS('業務'!$M$4:$M$200,A114,'業務'!$P$4:$P$200,"移管")=N114,"移管",IF(COUNTIFS('業務'!$M$4:$M$200,A114,'業務'!$P$4:$P$200,"移管")&gt;0,"一部",IF(COUNTIFS('業務'!$M$4:$M$200,A114,'業務'!$P$4:$P$200,"対象外")+COUNTIFS('業務'!$M$4:$M$200,A114,'業務'!$P$4:$P$200,"留保")=N114,IF(COUNTIFS('業務'!$M$4:$M$200,A114,'業務'!$P$4:$P$200,"留保")&gt;0,"留保","対象外"),"判定保留")))))</f>
        <v/>
      </c>
    </row>
    <row r="115">
      <c r="A115" s="17" t="n"/>
      <c r="B115" s="17" t="n"/>
      <c r="C115" s="17" t="n"/>
      <c r="D115" s="41">
        <f>IF(C115="","",IFERROR(INDEX('予算シート'!$B:$B,MATCH(C115,'予算シート'!$A:$A,0)),"案件が未登録"))</f>
        <v/>
      </c>
      <c r="E115" s="17" t="n"/>
      <c r="F115" s="17" t="n"/>
      <c r="G115" s="17" t="n"/>
      <c r="H115" s="29" t="n"/>
      <c r="I115" s="29" t="n"/>
      <c r="J115" s="17" t="n"/>
      <c r="K115" s="20" t="n"/>
      <c r="L115" s="41">
        <f>IF(OR(I115="",K115=""),"",EDATE(I115,-K115))</f>
        <v/>
      </c>
      <c r="M115" s="18" t="n"/>
      <c r="N115" s="45">
        <f>IF(A115="","",COUNTIF('業務'!$M$4:$M$200,A115))</f>
        <v/>
      </c>
      <c r="O115" s="41">
        <f>IF(A115="","",IF(N115=0,"対象外",IF(COUNTIFS('業務'!$M$4:$M$200,A115,'業務'!$P$4:$P$200,"移管")=N115,"移管",IF(COUNTIFS('業務'!$M$4:$M$200,A115,'業務'!$P$4:$P$200,"移管")&gt;0,"一部",IF(COUNTIFS('業務'!$M$4:$M$200,A115,'業務'!$P$4:$P$200,"対象外")+COUNTIFS('業務'!$M$4:$M$200,A115,'業務'!$P$4:$P$200,"留保")=N115,IF(COUNTIFS('業務'!$M$4:$M$200,A115,'業務'!$P$4:$P$200,"留保")&gt;0,"留保","対象外"),"判定保留")))))</f>
        <v/>
      </c>
    </row>
    <row r="116">
      <c r="A116" s="17" t="n"/>
      <c r="B116" s="17" t="n"/>
      <c r="C116" s="17" t="n"/>
      <c r="D116" s="41">
        <f>IF(C116="","",IFERROR(INDEX('予算シート'!$B:$B,MATCH(C116,'予算シート'!$A:$A,0)),"案件が未登録"))</f>
        <v/>
      </c>
      <c r="E116" s="17" t="n"/>
      <c r="F116" s="17" t="n"/>
      <c r="G116" s="17" t="n"/>
      <c r="H116" s="29" t="n"/>
      <c r="I116" s="29" t="n"/>
      <c r="J116" s="17" t="n"/>
      <c r="K116" s="20" t="n"/>
      <c r="L116" s="41">
        <f>IF(OR(I116="",K116=""),"",EDATE(I116,-K116))</f>
        <v/>
      </c>
      <c r="M116" s="18" t="n"/>
      <c r="N116" s="45">
        <f>IF(A116="","",COUNTIF('業務'!$M$4:$M$200,A116))</f>
        <v/>
      </c>
      <c r="O116" s="41">
        <f>IF(A116="","",IF(N116=0,"対象外",IF(COUNTIFS('業務'!$M$4:$M$200,A116,'業務'!$P$4:$P$200,"移管")=N116,"移管",IF(COUNTIFS('業務'!$M$4:$M$200,A116,'業務'!$P$4:$P$200,"移管")&gt;0,"一部",IF(COUNTIFS('業務'!$M$4:$M$200,A116,'業務'!$P$4:$P$200,"対象外")+COUNTIFS('業務'!$M$4:$M$200,A116,'業務'!$P$4:$P$200,"留保")=N116,IF(COUNTIFS('業務'!$M$4:$M$200,A116,'業務'!$P$4:$P$200,"留保")&gt;0,"留保","対象外"),"判定保留")))))</f>
        <v/>
      </c>
    </row>
    <row r="117">
      <c r="A117" s="17" t="n"/>
      <c r="B117" s="17" t="n"/>
      <c r="C117" s="17" t="n"/>
      <c r="D117" s="41">
        <f>IF(C117="","",IFERROR(INDEX('予算シート'!$B:$B,MATCH(C117,'予算シート'!$A:$A,0)),"案件が未登録"))</f>
        <v/>
      </c>
      <c r="E117" s="17" t="n"/>
      <c r="F117" s="17" t="n"/>
      <c r="G117" s="17" t="n"/>
      <c r="H117" s="29" t="n"/>
      <c r="I117" s="29" t="n"/>
      <c r="J117" s="17" t="n"/>
      <c r="K117" s="20" t="n"/>
      <c r="L117" s="41">
        <f>IF(OR(I117="",K117=""),"",EDATE(I117,-K117))</f>
        <v/>
      </c>
      <c r="M117" s="18" t="n"/>
      <c r="N117" s="45">
        <f>IF(A117="","",COUNTIF('業務'!$M$4:$M$200,A117))</f>
        <v/>
      </c>
      <c r="O117" s="41">
        <f>IF(A117="","",IF(N117=0,"対象外",IF(COUNTIFS('業務'!$M$4:$M$200,A117,'業務'!$P$4:$P$200,"移管")=N117,"移管",IF(COUNTIFS('業務'!$M$4:$M$200,A117,'業務'!$P$4:$P$200,"移管")&gt;0,"一部",IF(COUNTIFS('業務'!$M$4:$M$200,A117,'業務'!$P$4:$P$200,"対象外")+COUNTIFS('業務'!$M$4:$M$200,A117,'業務'!$P$4:$P$200,"留保")=N117,IF(COUNTIFS('業務'!$M$4:$M$200,A117,'業務'!$P$4:$P$200,"留保")&gt;0,"留保","対象外"),"判定保留")))))</f>
        <v/>
      </c>
    </row>
    <row r="118">
      <c r="A118" s="17" t="n"/>
      <c r="B118" s="17" t="n"/>
      <c r="C118" s="17" t="n"/>
      <c r="D118" s="41">
        <f>IF(C118="","",IFERROR(INDEX('予算シート'!$B:$B,MATCH(C118,'予算シート'!$A:$A,0)),"案件が未登録"))</f>
        <v/>
      </c>
      <c r="E118" s="17" t="n"/>
      <c r="F118" s="17" t="n"/>
      <c r="G118" s="17" t="n"/>
      <c r="H118" s="29" t="n"/>
      <c r="I118" s="29" t="n"/>
      <c r="J118" s="17" t="n"/>
      <c r="K118" s="20" t="n"/>
      <c r="L118" s="41">
        <f>IF(OR(I118="",K118=""),"",EDATE(I118,-K118))</f>
        <v/>
      </c>
      <c r="M118" s="18" t="n"/>
      <c r="N118" s="45">
        <f>IF(A118="","",COUNTIF('業務'!$M$4:$M$200,A118))</f>
        <v/>
      </c>
      <c r="O118" s="41">
        <f>IF(A118="","",IF(N118=0,"対象外",IF(COUNTIFS('業務'!$M$4:$M$200,A118,'業務'!$P$4:$P$200,"移管")=N118,"移管",IF(COUNTIFS('業務'!$M$4:$M$200,A118,'業務'!$P$4:$P$200,"移管")&gt;0,"一部",IF(COUNTIFS('業務'!$M$4:$M$200,A118,'業務'!$P$4:$P$200,"対象外")+COUNTIFS('業務'!$M$4:$M$200,A118,'業務'!$P$4:$P$200,"留保")=N118,IF(COUNTIFS('業務'!$M$4:$M$200,A118,'業務'!$P$4:$P$200,"留保")&gt;0,"留保","対象外"),"判定保留")))))</f>
        <v/>
      </c>
    </row>
    <row r="119">
      <c r="A119" s="17" t="n"/>
      <c r="B119" s="17" t="n"/>
      <c r="C119" s="17" t="n"/>
      <c r="D119" s="41">
        <f>IF(C119="","",IFERROR(INDEX('予算シート'!$B:$B,MATCH(C119,'予算シート'!$A:$A,0)),"案件が未登録"))</f>
        <v/>
      </c>
      <c r="E119" s="17" t="n"/>
      <c r="F119" s="17" t="n"/>
      <c r="G119" s="17" t="n"/>
      <c r="H119" s="29" t="n"/>
      <c r="I119" s="29" t="n"/>
      <c r="J119" s="17" t="n"/>
      <c r="K119" s="20" t="n"/>
      <c r="L119" s="41">
        <f>IF(OR(I119="",K119=""),"",EDATE(I119,-K119))</f>
        <v/>
      </c>
      <c r="M119" s="18" t="n"/>
      <c r="N119" s="45">
        <f>IF(A119="","",COUNTIF('業務'!$M$4:$M$200,A119))</f>
        <v/>
      </c>
      <c r="O119" s="41">
        <f>IF(A119="","",IF(N119=0,"対象外",IF(COUNTIFS('業務'!$M$4:$M$200,A119,'業務'!$P$4:$P$200,"移管")=N119,"移管",IF(COUNTIFS('業務'!$M$4:$M$200,A119,'業務'!$P$4:$P$200,"移管")&gt;0,"一部",IF(COUNTIFS('業務'!$M$4:$M$200,A119,'業務'!$P$4:$P$200,"対象外")+COUNTIFS('業務'!$M$4:$M$200,A119,'業務'!$P$4:$P$200,"留保")=N119,IF(COUNTIFS('業務'!$M$4:$M$200,A119,'業務'!$P$4:$P$200,"留保")&gt;0,"留保","対象外"),"判定保留")))))</f>
        <v/>
      </c>
    </row>
    <row r="120">
      <c r="A120" s="17" t="n"/>
      <c r="B120" s="17" t="n"/>
      <c r="C120" s="17" t="n"/>
      <c r="D120" s="41">
        <f>IF(C120="","",IFERROR(INDEX('予算シート'!$B:$B,MATCH(C120,'予算シート'!$A:$A,0)),"案件が未登録"))</f>
        <v/>
      </c>
      <c r="E120" s="17" t="n"/>
      <c r="F120" s="17" t="n"/>
      <c r="G120" s="17" t="n"/>
      <c r="H120" s="29" t="n"/>
      <c r="I120" s="29" t="n"/>
      <c r="J120" s="17" t="n"/>
      <c r="K120" s="20" t="n"/>
      <c r="L120" s="41">
        <f>IF(OR(I120="",K120=""),"",EDATE(I120,-K120))</f>
        <v/>
      </c>
      <c r="M120" s="18" t="n"/>
      <c r="N120" s="45">
        <f>IF(A120="","",COUNTIF('業務'!$M$4:$M$200,A120))</f>
        <v/>
      </c>
      <c r="O120" s="41">
        <f>IF(A120="","",IF(N120=0,"対象外",IF(COUNTIFS('業務'!$M$4:$M$200,A120,'業務'!$P$4:$P$200,"移管")=N120,"移管",IF(COUNTIFS('業務'!$M$4:$M$200,A120,'業務'!$P$4:$P$200,"移管")&gt;0,"一部",IF(COUNTIFS('業務'!$M$4:$M$200,A120,'業務'!$P$4:$P$200,"対象外")+COUNTIFS('業務'!$M$4:$M$200,A120,'業務'!$P$4:$P$200,"留保")=N120,IF(COUNTIFS('業務'!$M$4:$M$200,A120,'業務'!$P$4:$P$200,"留保")&gt;0,"留保","対象外"),"判定保留")))))</f>
        <v/>
      </c>
    </row>
    <row r="121">
      <c r="A121" s="17" t="n"/>
      <c r="B121" s="17" t="n"/>
      <c r="C121" s="17" t="n"/>
      <c r="D121" s="41">
        <f>IF(C121="","",IFERROR(INDEX('予算シート'!$B:$B,MATCH(C121,'予算シート'!$A:$A,0)),"案件が未登録"))</f>
        <v/>
      </c>
      <c r="E121" s="17" t="n"/>
      <c r="F121" s="17" t="n"/>
      <c r="G121" s="17" t="n"/>
      <c r="H121" s="29" t="n"/>
      <c r="I121" s="29" t="n"/>
      <c r="J121" s="17" t="n"/>
      <c r="K121" s="20" t="n"/>
      <c r="L121" s="41">
        <f>IF(OR(I121="",K121=""),"",EDATE(I121,-K121))</f>
        <v/>
      </c>
      <c r="M121" s="18" t="n"/>
      <c r="N121" s="45">
        <f>IF(A121="","",COUNTIF('業務'!$M$4:$M$200,A121))</f>
        <v/>
      </c>
      <c r="O121" s="41">
        <f>IF(A121="","",IF(N121=0,"対象外",IF(COUNTIFS('業務'!$M$4:$M$200,A121,'業務'!$P$4:$P$200,"移管")=N121,"移管",IF(COUNTIFS('業務'!$M$4:$M$200,A121,'業務'!$P$4:$P$200,"移管")&gt;0,"一部",IF(COUNTIFS('業務'!$M$4:$M$200,A121,'業務'!$P$4:$P$200,"対象外")+COUNTIFS('業務'!$M$4:$M$200,A121,'業務'!$P$4:$P$200,"留保")=N121,IF(COUNTIFS('業務'!$M$4:$M$200,A121,'業務'!$P$4:$P$200,"留保")&gt;0,"留保","対象外"),"判定保留")))))</f>
        <v/>
      </c>
    </row>
    <row r="122">
      <c r="A122" s="17" t="n"/>
      <c r="B122" s="17" t="n"/>
      <c r="C122" s="17" t="n"/>
      <c r="D122" s="41">
        <f>IF(C122="","",IFERROR(INDEX('予算シート'!$B:$B,MATCH(C122,'予算シート'!$A:$A,0)),"案件が未登録"))</f>
        <v/>
      </c>
      <c r="E122" s="17" t="n"/>
      <c r="F122" s="17" t="n"/>
      <c r="G122" s="17" t="n"/>
      <c r="H122" s="29" t="n"/>
      <c r="I122" s="29" t="n"/>
      <c r="J122" s="17" t="n"/>
      <c r="K122" s="20" t="n"/>
      <c r="L122" s="41">
        <f>IF(OR(I122="",K122=""),"",EDATE(I122,-K122))</f>
        <v/>
      </c>
      <c r="M122" s="18" t="n"/>
      <c r="N122" s="45">
        <f>IF(A122="","",COUNTIF('業務'!$M$4:$M$200,A122))</f>
        <v/>
      </c>
      <c r="O122" s="41">
        <f>IF(A122="","",IF(N122=0,"対象外",IF(COUNTIFS('業務'!$M$4:$M$200,A122,'業務'!$P$4:$P$200,"移管")=N122,"移管",IF(COUNTIFS('業務'!$M$4:$M$200,A122,'業務'!$P$4:$P$200,"移管")&gt;0,"一部",IF(COUNTIFS('業務'!$M$4:$M$200,A122,'業務'!$P$4:$P$200,"対象外")+COUNTIFS('業務'!$M$4:$M$200,A122,'業務'!$P$4:$P$200,"留保")=N122,IF(COUNTIFS('業務'!$M$4:$M$200,A122,'業務'!$P$4:$P$200,"留保")&gt;0,"留保","対象外"),"判定保留")))))</f>
        <v/>
      </c>
    </row>
    <row r="123">
      <c r="A123" s="17" t="n"/>
      <c r="B123" s="17" t="n"/>
      <c r="C123" s="17" t="n"/>
      <c r="D123" s="41">
        <f>IF(C123="","",IFERROR(INDEX('予算シート'!$B:$B,MATCH(C123,'予算シート'!$A:$A,0)),"案件が未登録"))</f>
        <v/>
      </c>
      <c r="E123" s="17" t="n"/>
      <c r="F123" s="17" t="n"/>
      <c r="G123" s="17" t="n"/>
      <c r="H123" s="29" t="n"/>
      <c r="I123" s="29" t="n"/>
      <c r="J123" s="17" t="n"/>
      <c r="K123" s="20" t="n"/>
      <c r="L123" s="41">
        <f>IF(OR(I123="",K123=""),"",EDATE(I123,-K123))</f>
        <v/>
      </c>
      <c r="M123" s="18" t="n"/>
      <c r="N123" s="45">
        <f>IF(A123="","",COUNTIF('業務'!$M$4:$M$200,A123))</f>
        <v/>
      </c>
      <c r="O123" s="41">
        <f>IF(A123="","",IF(N123=0,"対象外",IF(COUNTIFS('業務'!$M$4:$M$200,A123,'業務'!$P$4:$P$200,"移管")=N123,"移管",IF(COUNTIFS('業務'!$M$4:$M$200,A123,'業務'!$P$4:$P$200,"移管")&gt;0,"一部",IF(COUNTIFS('業務'!$M$4:$M$200,A123,'業務'!$P$4:$P$200,"対象外")+COUNTIFS('業務'!$M$4:$M$200,A123,'業務'!$P$4:$P$200,"留保")=N123,IF(COUNTIFS('業務'!$M$4:$M$200,A123,'業務'!$P$4:$P$200,"留保")&gt;0,"留保","対象外"),"判定保留")))))</f>
        <v/>
      </c>
    </row>
    <row r="124">
      <c r="A124" s="17" t="n"/>
      <c r="B124" s="17" t="n"/>
      <c r="C124" s="17" t="n"/>
      <c r="D124" s="41">
        <f>IF(C124="","",IFERROR(INDEX('予算シート'!$B:$B,MATCH(C124,'予算シート'!$A:$A,0)),"案件が未登録"))</f>
        <v/>
      </c>
      <c r="E124" s="17" t="n"/>
      <c r="F124" s="17" t="n"/>
      <c r="G124" s="17" t="n"/>
      <c r="H124" s="29" t="n"/>
      <c r="I124" s="29" t="n"/>
      <c r="J124" s="17" t="n"/>
      <c r="K124" s="20" t="n"/>
      <c r="L124" s="41">
        <f>IF(OR(I124="",K124=""),"",EDATE(I124,-K124))</f>
        <v/>
      </c>
      <c r="M124" s="18" t="n"/>
      <c r="N124" s="45">
        <f>IF(A124="","",COUNTIF('業務'!$M$4:$M$200,A124))</f>
        <v/>
      </c>
      <c r="O124" s="41">
        <f>IF(A124="","",IF(N124=0,"対象外",IF(COUNTIFS('業務'!$M$4:$M$200,A124,'業務'!$P$4:$P$200,"移管")=N124,"移管",IF(COUNTIFS('業務'!$M$4:$M$200,A124,'業務'!$P$4:$P$200,"移管")&gt;0,"一部",IF(COUNTIFS('業務'!$M$4:$M$200,A124,'業務'!$P$4:$P$200,"対象外")+COUNTIFS('業務'!$M$4:$M$200,A124,'業務'!$P$4:$P$200,"留保")=N124,IF(COUNTIFS('業務'!$M$4:$M$200,A124,'業務'!$P$4:$P$200,"留保")&gt;0,"留保","対象外"),"判定保留")))))</f>
        <v/>
      </c>
    </row>
    <row r="125">
      <c r="A125" s="17" t="n"/>
      <c r="B125" s="17" t="n"/>
      <c r="C125" s="17" t="n"/>
      <c r="D125" s="41">
        <f>IF(C125="","",IFERROR(INDEX('予算シート'!$B:$B,MATCH(C125,'予算シート'!$A:$A,0)),"案件が未登録"))</f>
        <v/>
      </c>
      <c r="E125" s="17" t="n"/>
      <c r="F125" s="17" t="n"/>
      <c r="G125" s="17" t="n"/>
      <c r="H125" s="29" t="n"/>
      <c r="I125" s="29" t="n"/>
      <c r="J125" s="17" t="n"/>
      <c r="K125" s="20" t="n"/>
      <c r="L125" s="41">
        <f>IF(OR(I125="",K125=""),"",EDATE(I125,-K125))</f>
        <v/>
      </c>
      <c r="M125" s="18" t="n"/>
      <c r="N125" s="45">
        <f>IF(A125="","",COUNTIF('業務'!$M$4:$M$200,A125))</f>
        <v/>
      </c>
      <c r="O125" s="41">
        <f>IF(A125="","",IF(N125=0,"対象外",IF(COUNTIFS('業務'!$M$4:$M$200,A125,'業務'!$P$4:$P$200,"移管")=N125,"移管",IF(COUNTIFS('業務'!$M$4:$M$200,A125,'業務'!$P$4:$P$200,"移管")&gt;0,"一部",IF(COUNTIFS('業務'!$M$4:$M$200,A125,'業務'!$P$4:$P$200,"対象外")+COUNTIFS('業務'!$M$4:$M$200,A125,'業務'!$P$4:$P$200,"留保")=N125,IF(COUNTIFS('業務'!$M$4:$M$200,A125,'業務'!$P$4:$P$200,"留保")&gt;0,"留保","対象外"),"判定保留")))))</f>
        <v/>
      </c>
    </row>
    <row r="126">
      <c r="A126" s="17" t="n"/>
      <c r="B126" s="17" t="n"/>
      <c r="C126" s="17" t="n"/>
      <c r="D126" s="41">
        <f>IF(C126="","",IFERROR(INDEX('予算シート'!$B:$B,MATCH(C126,'予算シート'!$A:$A,0)),"案件が未登録"))</f>
        <v/>
      </c>
      <c r="E126" s="17" t="n"/>
      <c r="F126" s="17" t="n"/>
      <c r="G126" s="17" t="n"/>
      <c r="H126" s="29" t="n"/>
      <c r="I126" s="29" t="n"/>
      <c r="J126" s="17" t="n"/>
      <c r="K126" s="20" t="n"/>
      <c r="L126" s="41">
        <f>IF(OR(I126="",K126=""),"",EDATE(I126,-K126))</f>
        <v/>
      </c>
      <c r="M126" s="18" t="n"/>
      <c r="N126" s="45">
        <f>IF(A126="","",COUNTIF('業務'!$M$4:$M$200,A126))</f>
        <v/>
      </c>
      <c r="O126" s="41">
        <f>IF(A126="","",IF(N126=0,"対象外",IF(COUNTIFS('業務'!$M$4:$M$200,A126,'業務'!$P$4:$P$200,"移管")=N126,"移管",IF(COUNTIFS('業務'!$M$4:$M$200,A126,'業務'!$P$4:$P$200,"移管")&gt;0,"一部",IF(COUNTIFS('業務'!$M$4:$M$200,A126,'業務'!$P$4:$P$200,"対象外")+COUNTIFS('業務'!$M$4:$M$200,A126,'業務'!$P$4:$P$200,"留保")=N126,IF(COUNTIFS('業務'!$M$4:$M$200,A126,'業務'!$P$4:$P$200,"留保")&gt;0,"留保","対象外"),"判定保留")))))</f>
        <v/>
      </c>
    </row>
    <row r="127">
      <c r="A127" s="17" t="n"/>
      <c r="B127" s="17" t="n"/>
      <c r="C127" s="17" t="n"/>
      <c r="D127" s="41">
        <f>IF(C127="","",IFERROR(INDEX('予算シート'!$B:$B,MATCH(C127,'予算シート'!$A:$A,0)),"案件が未登録"))</f>
        <v/>
      </c>
      <c r="E127" s="17" t="n"/>
      <c r="F127" s="17" t="n"/>
      <c r="G127" s="17" t="n"/>
      <c r="H127" s="29" t="n"/>
      <c r="I127" s="29" t="n"/>
      <c r="J127" s="17" t="n"/>
      <c r="K127" s="20" t="n"/>
      <c r="L127" s="41">
        <f>IF(OR(I127="",K127=""),"",EDATE(I127,-K127))</f>
        <v/>
      </c>
      <c r="M127" s="18" t="n"/>
      <c r="N127" s="45">
        <f>IF(A127="","",COUNTIF('業務'!$M$4:$M$200,A127))</f>
        <v/>
      </c>
      <c r="O127" s="41">
        <f>IF(A127="","",IF(N127=0,"対象外",IF(COUNTIFS('業務'!$M$4:$M$200,A127,'業務'!$P$4:$P$200,"移管")=N127,"移管",IF(COUNTIFS('業務'!$M$4:$M$200,A127,'業務'!$P$4:$P$200,"移管")&gt;0,"一部",IF(COUNTIFS('業務'!$M$4:$M$200,A127,'業務'!$P$4:$P$200,"対象外")+COUNTIFS('業務'!$M$4:$M$200,A127,'業務'!$P$4:$P$200,"留保")=N127,IF(COUNTIFS('業務'!$M$4:$M$200,A127,'業務'!$P$4:$P$200,"留保")&gt;0,"留保","対象外"),"判定保留")))))</f>
        <v/>
      </c>
    </row>
    <row r="128">
      <c r="A128" s="17" t="n"/>
      <c r="B128" s="17" t="n"/>
      <c r="C128" s="17" t="n"/>
      <c r="D128" s="41">
        <f>IF(C128="","",IFERROR(INDEX('予算シート'!$B:$B,MATCH(C128,'予算シート'!$A:$A,0)),"案件が未登録"))</f>
        <v/>
      </c>
      <c r="E128" s="17" t="n"/>
      <c r="F128" s="17" t="n"/>
      <c r="G128" s="17" t="n"/>
      <c r="H128" s="29" t="n"/>
      <c r="I128" s="29" t="n"/>
      <c r="J128" s="17" t="n"/>
      <c r="K128" s="20" t="n"/>
      <c r="L128" s="41">
        <f>IF(OR(I128="",K128=""),"",EDATE(I128,-K128))</f>
        <v/>
      </c>
      <c r="M128" s="18" t="n"/>
      <c r="N128" s="45">
        <f>IF(A128="","",COUNTIF('業務'!$M$4:$M$200,A128))</f>
        <v/>
      </c>
      <c r="O128" s="41">
        <f>IF(A128="","",IF(N128=0,"対象外",IF(COUNTIFS('業務'!$M$4:$M$200,A128,'業務'!$P$4:$P$200,"移管")=N128,"移管",IF(COUNTIFS('業務'!$M$4:$M$200,A128,'業務'!$P$4:$P$200,"移管")&gt;0,"一部",IF(COUNTIFS('業務'!$M$4:$M$200,A128,'業務'!$P$4:$P$200,"対象外")+COUNTIFS('業務'!$M$4:$M$200,A128,'業務'!$P$4:$P$200,"留保")=N128,IF(COUNTIFS('業務'!$M$4:$M$200,A128,'業務'!$P$4:$P$200,"留保")&gt;0,"留保","対象外"),"判定保留")))))</f>
        <v/>
      </c>
    </row>
    <row r="129">
      <c r="A129" s="17" t="n"/>
      <c r="B129" s="17" t="n"/>
      <c r="C129" s="17" t="n"/>
      <c r="D129" s="41">
        <f>IF(C129="","",IFERROR(INDEX('予算シート'!$B:$B,MATCH(C129,'予算シート'!$A:$A,0)),"案件が未登録"))</f>
        <v/>
      </c>
      <c r="E129" s="17" t="n"/>
      <c r="F129" s="17" t="n"/>
      <c r="G129" s="17" t="n"/>
      <c r="H129" s="29" t="n"/>
      <c r="I129" s="29" t="n"/>
      <c r="J129" s="17" t="n"/>
      <c r="K129" s="20" t="n"/>
      <c r="L129" s="41">
        <f>IF(OR(I129="",K129=""),"",EDATE(I129,-K129))</f>
        <v/>
      </c>
      <c r="M129" s="18" t="n"/>
      <c r="N129" s="45">
        <f>IF(A129="","",COUNTIF('業務'!$M$4:$M$200,A129))</f>
        <v/>
      </c>
      <c r="O129" s="41">
        <f>IF(A129="","",IF(N129=0,"対象外",IF(COUNTIFS('業務'!$M$4:$M$200,A129,'業務'!$P$4:$P$200,"移管")=N129,"移管",IF(COUNTIFS('業務'!$M$4:$M$200,A129,'業務'!$P$4:$P$200,"移管")&gt;0,"一部",IF(COUNTIFS('業務'!$M$4:$M$200,A129,'業務'!$P$4:$P$200,"対象外")+COUNTIFS('業務'!$M$4:$M$200,A129,'業務'!$P$4:$P$200,"留保")=N129,IF(COUNTIFS('業務'!$M$4:$M$200,A129,'業務'!$P$4:$P$200,"留保")&gt;0,"留保","対象外"),"判定保留")))))</f>
        <v/>
      </c>
    </row>
    <row r="130">
      <c r="A130" s="17" t="n"/>
      <c r="B130" s="17" t="n"/>
      <c r="C130" s="17" t="n"/>
      <c r="D130" s="41">
        <f>IF(C130="","",IFERROR(INDEX('予算シート'!$B:$B,MATCH(C130,'予算シート'!$A:$A,0)),"案件が未登録"))</f>
        <v/>
      </c>
      <c r="E130" s="17" t="n"/>
      <c r="F130" s="17" t="n"/>
      <c r="G130" s="17" t="n"/>
      <c r="H130" s="29" t="n"/>
      <c r="I130" s="29" t="n"/>
      <c r="J130" s="17" t="n"/>
      <c r="K130" s="20" t="n"/>
      <c r="L130" s="41">
        <f>IF(OR(I130="",K130=""),"",EDATE(I130,-K130))</f>
        <v/>
      </c>
      <c r="M130" s="18" t="n"/>
      <c r="N130" s="45">
        <f>IF(A130="","",COUNTIF('業務'!$M$4:$M$200,A130))</f>
        <v/>
      </c>
      <c r="O130" s="41">
        <f>IF(A130="","",IF(N130=0,"対象外",IF(COUNTIFS('業務'!$M$4:$M$200,A130,'業務'!$P$4:$P$200,"移管")=N130,"移管",IF(COUNTIFS('業務'!$M$4:$M$200,A130,'業務'!$P$4:$P$200,"移管")&gt;0,"一部",IF(COUNTIFS('業務'!$M$4:$M$200,A130,'業務'!$P$4:$P$200,"対象外")+COUNTIFS('業務'!$M$4:$M$200,A130,'業務'!$P$4:$P$200,"留保")=N130,IF(COUNTIFS('業務'!$M$4:$M$200,A130,'業務'!$P$4:$P$200,"留保")&gt;0,"留保","対象外"),"判定保留")))))</f>
        <v/>
      </c>
    </row>
    <row r="131">
      <c r="A131" s="17" t="n"/>
      <c r="B131" s="17" t="n"/>
      <c r="C131" s="17" t="n"/>
      <c r="D131" s="41">
        <f>IF(C131="","",IFERROR(INDEX('予算シート'!$B:$B,MATCH(C131,'予算シート'!$A:$A,0)),"案件が未登録"))</f>
        <v/>
      </c>
      <c r="E131" s="17" t="n"/>
      <c r="F131" s="17" t="n"/>
      <c r="G131" s="17" t="n"/>
      <c r="H131" s="29" t="n"/>
      <c r="I131" s="29" t="n"/>
      <c r="J131" s="17" t="n"/>
      <c r="K131" s="20" t="n"/>
      <c r="L131" s="41">
        <f>IF(OR(I131="",K131=""),"",EDATE(I131,-K131))</f>
        <v/>
      </c>
      <c r="M131" s="18" t="n"/>
      <c r="N131" s="45">
        <f>IF(A131="","",COUNTIF('業務'!$M$4:$M$200,A131))</f>
        <v/>
      </c>
      <c r="O131" s="41">
        <f>IF(A131="","",IF(N131=0,"対象外",IF(COUNTIFS('業務'!$M$4:$M$200,A131,'業務'!$P$4:$P$200,"移管")=N131,"移管",IF(COUNTIFS('業務'!$M$4:$M$200,A131,'業務'!$P$4:$P$200,"移管")&gt;0,"一部",IF(COUNTIFS('業務'!$M$4:$M$200,A131,'業務'!$P$4:$P$200,"対象外")+COUNTIFS('業務'!$M$4:$M$200,A131,'業務'!$P$4:$P$200,"留保")=N131,IF(COUNTIFS('業務'!$M$4:$M$200,A131,'業務'!$P$4:$P$200,"留保")&gt;0,"留保","対象外"),"判定保留")))))</f>
        <v/>
      </c>
    </row>
    <row r="132">
      <c r="A132" s="17" t="n"/>
      <c r="B132" s="17" t="n"/>
      <c r="C132" s="17" t="n"/>
      <c r="D132" s="41">
        <f>IF(C132="","",IFERROR(INDEX('予算シート'!$B:$B,MATCH(C132,'予算シート'!$A:$A,0)),"案件が未登録"))</f>
        <v/>
      </c>
      <c r="E132" s="17" t="n"/>
      <c r="F132" s="17" t="n"/>
      <c r="G132" s="17" t="n"/>
      <c r="H132" s="29" t="n"/>
      <c r="I132" s="29" t="n"/>
      <c r="J132" s="17" t="n"/>
      <c r="K132" s="20" t="n"/>
      <c r="L132" s="41">
        <f>IF(OR(I132="",K132=""),"",EDATE(I132,-K132))</f>
        <v/>
      </c>
      <c r="M132" s="18" t="n"/>
      <c r="N132" s="45">
        <f>IF(A132="","",COUNTIF('業務'!$M$4:$M$200,A132))</f>
        <v/>
      </c>
      <c r="O132" s="41">
        <f>IF(A132="","",IF(N132=0,"対象外",IF(COUNTIFS('業務'!$M$4:$M$200,A132,'業務'!$P$4:$P$200,"移管")=N132,"移管",IF(COUNTIFS('業務'!$M$4:$M$200,A132,'業務'!$P$4:$P$200,"移管")&gt;0,"一部",IF(COUNTIFS('業務'!$M$4:$M$200,A132,'業務'!$P$4:$P$200,"対象外")+COUNTIFS('業務'!$M$4:$M$200,A132,'業務'!$P$4:$P$200,"留保")=N132,IF(COUNTIFS('業務'!$M$4:$M$200,A132,'業務'!$P$4:$P$200,"留保")&gt;0,"留保","対象外"),"判定保留")))))</f>
        <v/>
      </c>
    </row>
    <row r="133">
      <c r="A133" s="17" t="n"/>
      <c r="B133" s="17" t="n"/>
      <c r="C133" s="17" t="n"/>
      <c r="D133" s="41">
        <f>IF(C133="","",IFERROR(INDEX('予算シート'!$B:$B,MATCH(C133,'予算シート'!$A:$A,0)),"案件が未登録"))</f>
        <v/>
      </c>
      <c r="E133" s="17" t="n"/>
      <c r="F133" s="17" t="n"/>
      <c r="G133" s="17" t="n"/>
      <c r="H133" s="29" t="n"/>
      <c r="I133" s="29" t="n"/>
      <c r="J133" s="17" t="n"/>
      <c r="K133" s="20" t="n"/>
      <c r="L133" s="41">
        <f>IF(OR(I133="",K133=""),"",EDATE(I133,-K133))</f>
        <v/>
      </c>
      <c r="M133" s="18" t="n"/>
      <c r="N133" s="45">
        <f>IF(A133="","",COUNTIF('業務'!$M$4:$M$200,A133))</f>
        <v/>
      </c>
      <c r="O133" s="41">
        <f>IF(A133="","",IF(N133=0,"対象外",IF(COUNTIFS('業務'!$M$4:$M$200,A133,'業務'!$P$4:$P$200,"移管")=N133,"移管",IF(COUNTIFS('業務'!$M$4:$M$200,A133,'業務'!$P$4:$P$200,"移管")&gt;0,"一部",IF(COUNTIFS('業務'!$M$4:$M$200,A133,'業務'!$P$4:$P$200,"対象外")+COUNTIFS('業務'!$M$4:$M$200,A133,'業務'!$P$4:$P$200,"留保")=N133,IF(COUNTIFS('業務'!$M$4:$M$200,A133,'業務'!$P$4:$P$200,"留保")&gt;0,"留保","対象外"),"判定保留")))))</f>
        <v/>
      </c>
    </row>
    <row r="134">
      <c r="A134" s="17" t="n"/>
      <c r="B134" s="17" t="n"/>
      <c r="C134" s="17" t="n"/>
      <c r="D134" s="41">
        <f>IF(C134="","",IFERROR(INDEX('予算シート'!$B:$B,MATCH(C134,'予算シート'!$A:$A,0)),"案件が未登録"))</f>
        <v/>
      </c>
      <c r="E134" s="17" t="n"/>
      <c r="F134" s="17" t="n"/>
      <c r="G134" s="17" t="n"/>
      <c r="H134" s="29" t="n"/>
      <c r="I134" s="29" t="n"/>
      <c r="J134" s="17" t="n"/>
      <c r="K134" s="20" t="n"/>
      <c r="L134" s="41">
        <f>IF(OR(I134="",K134=""),"",EDATE(I134,-K134))</f>
        <v/>
      </c>
      <c r="M134" s="18" t="n"/>
      <c r="N134" s="45">
        <f>IF(A134="","",COUNTIF('業務'!$M$4:$M$200,A134))</f>
        <v/>
      </c>
      <c r="O134" s="41">
        <f>IF(A134="","",IF(N134=0,"対象外",IF(COUNTIFS('業務'!$M$4:$M$200,A134,'業務'!$P$4:$P$200,"移管")=N134,"移管",IF(COUNTIFS('業務'!$M$4:$M$200,A134,'業務'!$P$4:$P$200,"移管")&gt;0,"一部",IF(COUNTIFS('業務'!$M$4:$M$200,A134,'業務'!$P$4:$P$200,"対象外")+COUNTIFS('業務'!$M$4:$M$200,A134,'業務'!$P$4:$P$200,"留保")=N134,IF(COUNTIFS('業務'!$M$4:$M$200,A134,'業務'!$P$4:$P$200,"留保")&gt;0,"留保","対象外"),"判定保留")))))</f>
        <v/>
      </c>
    </row>
    <row r="135">
      <c r="A135" s="17" t="n"/>
      <c r="B135" s="17" t="n"/>
      <c r="C135" s="17" t="n"/>
      <c r="D135" s="41">
        <f>IF(C135="","",IFERROR(INDEX('予算シート'!$B:$B,MATCH(C135,'予算シート'!$A:$A,0)),"案件が未登録"))</f>
        <v/>
      </c>
      <c r="E135" s="17" t="n"/>
      <c r="F135" s="17" t="n"/>
      <c r="G135" s="17" t="n"/>
      <c r="H135" s="29" t="n"/>
      <c r="I135" s="29" t="n"/>
      <c r="J135" s="17" t="n"/>
      <c r="K135" s="20" t="n"/>
      <c r="L135" s="41">
        <f>IF(OR(I135="",K135=""),"",EDATE(I135,-K135))</f>
        <v/>
      </c>
      <c r="M135" s="18" t="n"/>
      <c r="N135" s="45">
        <f>IF(A135="","",COUNTIF('業務'!$M$4:$M$200,A135))</f>
        <v/>
      </c>
      <c r="O135" s="41">
        <f>IF(A135="","",IF(N135=0,"対象外",IF(COUNTIFS('業務'!$M$4:$M$200,A135,'業務'!$P$4:$P$200,"移管")=N135,"移管",IF(COUNTIFS('業務'!$M$4:$M$200,A135,'業務'!$P$4:$P$200,"移管")&gt;0,"一部",IF(COUNTIFS('業務'!$M$4:$M$200,A135,'業務'!$P$4:$P$200,"対象外")+COUNTIFS('業務'!$M$4:$M$200,A135,'業務'!$P$4:$P$200,"留保")=N135,IF(COUNTIFS('業務'!$M$4:$M$200,A135,'業務'!$P$4:$P$200,"留保")&gt;0,"留保","対象外"),"判定保留")))))</f>
        <v/>
      </c>
    </row>
    <row r="136">
      <c r="A136" s="17" t="n"/>
      <c r="B136" s="17" t="n"/>
      <c r="C136" s="17" t="n"/>
      <c r="D136" s="41">
        <f>IF(C136="","",IFERROR(INDEX('予算シート'!$B:$B,MATCH(C136,'予算シート'!$A:$A,0)),"案件が未登録"))</f>
        <v/>
      </c>
      <c r="E136" s="17" t="n"/>
      <c r="F136" s="17" t="n"/>
      <c r="G136" s="17" t="n"/>
      <c r="H136" s="29" t="n"/>
      <c r="I136" s="29" t="n"/>
      <c r="J136" s="17" t="n"/>
      <c r="K136" s="20" t="n"/>
      <c r="L136" s="41">
        <f>IF(OR(I136="",K136=""),"",EDATE(I136,-K136))</f>
        <v/>
      </c>
      <c r="M136" s="18" t="n"/>
      <c r="N136" s="45">
        <f>IF(A136="","",COUNTIF('業務'!$M$4:$M$200,A136))</f>
        <v/>
      </c>
      <c r="O136" s="41">
        <f>IF(A136="","",IF(N136=0,"対象外",IF(COUNTIFS('業務'!$M$4:$M$200,A136,'業務'!$P$4:$P$200,"移管")=N136,"移管",IF(COUNTIFS('業務'!$M$4:$M$200,A136,'業務'!$P$4:$P$200,"移管")&gt;0,"一部",IF(COUNTIFS('業務'!$M$4:$M$200,A136,'業務'!$P$4:$P$200,"対象外")+COUNTIFS('業務'!$M$4:$M$200,A136,'業務'!$P$4:$P$200,"留保")=N136,IF(COUNTIFS('業務'!$M$4:$M$200,A136,'業務'!$P$4:$P$200,"留保")&gt;0,"留保","対象外"),"判定保留")))))</f>
        <v/>
      </c>
    </row>
    <row r="137">
      <c r="A137" s="17" t="n"/>
      <c r="B137" s="17" t="n"/>
      <c r="C137" s="17" t="n"/>
      <c r="D137" s="41">
        <f>IF(C137="","",IFERROR(INDEX('予算シート'!$B:$B,MATCH(C137,'予算シート'!$A:$A,0)),"案件が未登録"))</f>
        <v/>
      </c>
      <c r="E137" s="17" t="n"/>
      <c r="F137" s="17" t="n"/>
      <c r="G137" s="17" t="n"/>
      <c r="H137" s="29" t="n"/>
      <c r="I137" s="29" t="n"/>
      <c r="J137" s="17" t="n"/>
      <c r="K137" s="20" t="n"/>
      <c r="L137" s="41">
        <f>IF(OR(I137="",K137=""),"",EDATE(I137,-K137))</f>
        <v/>
      </c>
      <c r="M137" s="18" t="n"/>
      <c r="N137" s="45">
        <f>IF(A137="","",COUNTIF('業務'!$M$4:$M$200,A137))</f>
        <v/>
      </c>
      <c r="O137" s="41">
        <f>IF(A137="","",IF(N137=0,"対象外",IF(COUNTIFS('業務'!$M$4:$M$200,A137,'業務'!$P$4:$P$200,"移管")=N137,"移管",IF(COUNTIFS('業務'!$M$4:$M$200,A137,'業務'!$P$4:$P$200,"移管")&gt;0,"一部",IF(COUNTIFS('業務'!$M$4:$M$200,A137,'業務'!$P$4:$P$200,"対象外")+COUNTIFS('業務'!$M$4:$M$200,A137,'業務'!$P$4:$P$200,"留保")=N137,IF(COUNTIFS('業務'!$M$4:$M$200,A137,'業務'!$P$4:$P$200,"留保")&gt;0,"留保","対象外"),"判定保留")))))</f>
        <v/>
      </c>
    </row>
    <row r="138">
      <c r="A138" s="17" t="n"/>
      <c r="B138" s="17" t="n"/>
      <c r="C138" s="17" t="n"/>
      <c r="D138" s="41">
        <f>IF(C138="","",IFERROR(INDEX('予算シート'!$B:$B,MATCH(C138,'予算シート'!$A:$A,0)),"案件が未登録"))</f>
        <v/>
      </c>
      <c r="E138" s="17" t="n"/>
      <c r="F138" s="17" t="n"/>
      <c r="G138" s="17" t="n"/>
      <c r="H138" s="29" t="n"/>
      <c r="I138" s="29" t="n"/>
      <c r="J138" s="17" t="n"/>
      <c r="K138" s="20" t="n"/>
      <c r="L138" s="41">
        <f>IF(OR(I138="",K138=""),"",EDATE(I138,-K138))</f>
        <v/>
      </c>
      <c r="M138" s="18" t="n"/>
      <c r="N138" s="45">
        <f>IF(A138="","",COUNTIF('業務'!$M$4:$M$200,A138))</f>
        <v/>
      </c>
      <c r="O138" s="41">
        <f>IF(A138="","",IF(N138=0,"対象外",IF(COUNTIFS('業務'!$M$4:$M$200,A138,'業務'!$P$4:$P$200,"移管")=N138,"移管",IF(COUNTIFS('業務'!$M$4:$M$200,A138,'業務'!$P$4:$P$200,"移管")&gt;0,"一部",IF(COUNTIFS('業務'!$M$4:$M$200,A138,'業務'!$P$4:$P$200,"対象外")+COUNTIFS('業務'!$M$4:$M$200,A138,'業務'!$P$4:$P$200,"留保")=N138,IF(COUNTIFS('業務'!$M$4:$M$200,A138,'業務'!$P$4:$P$200,"留保")&gt;0,"留保","対象外"),"判定保留")))))</f>
        <v/>
      </c>
    </row>
    <row r="139">
      <c r="A139" s="17" t="n"/>
      <c r="B139" s="17" t="n"/>
      <c r="C139" s="17" t="n"/>
      <c r="D139" s="41">
        <f>IF(C139="","",IFERROR(INDEX('予算シート'!$B:$B,MATCH(C139,'予算シート'!$A:$A,0)),"案件が未登録"))</f>
        <v/>
      </c>
      <c r="E139" s="17" t="n"/>
      <c r="F139" s="17" t="n"/>
      <c r="G139" s="17" t="n"/>
      <c r="H139" s="29" t="n"/>
      <c r="I139" s="29" t="n"/>
      <c r="J139" s="17" t="n"/>
      <c r="K139" s="20" t="n"/>
      <c r="L139" s="41">
        <f>IF(OR(I139="",K139=""),"",EDATE(I139,-K139))</f>
        <v/>
      </c>
      <c r="M139" s="18" t="n"/>
      <c r="N139" s="45">
        <f>IF(A139="","",COUNTIF('業務'!$M$4:$M$200,A139))</f>
        <v/>
      </c>
      <c r="O139" s="41">
        <f>IF(A139="","",IF(N139=0,"対象外",IF(COUNTIFS('業務'!$M$4:$M$200,A139,'業務'!$P$4:$P$200,"移管")=N139,"移管",IF(COUNTIFS('業務'!$M$4:$M$200,A139,'業務'!$P$4:$P$200,"移管")&gt;0,"一部",IF(COUNTIFS('業務'!$M$4:$M$200,A139,'業務'!$P$4:$P$200,"対象外")+COUNTIFS('業務'!$M$4:$M$200,A139,'業務'!$P$4:$P$200,"留保")=N139,IF(COUNTIFS('業務'!$M$4:$M$200,A139,'業務'!$P$4:$P$200,"留保")&gt;0,"留保","対象外"),"判定保留")))))</f>
        <v/>
      </c>
    </row>
    <row r="140">
      <c r="A140" s="17" t="n"/>
      <c r="B140" s="17" t="n"/>
      <c r="C140" s="17" t="n"/>
      <c r="D140" s="41">
        <f>IF(C140="","",IFERROR(INDEX('予算シート'!$B:$B,MATCH(C140,'予算シート'!$A:$A,0)),"案件が未登録"))</f>
        <v/>
      </c>
      <c r="E140" s="17" t="n"/>
      <c r="F140" s="17" t="n"/>
      <c r="G140" s="17" t="n"/>
      <c r="H140" s="29" t="n"/>
      <c r="I140" s="29" t="n"/>
      <c r="J140" s="17" t="n"/>
      <c r="K140" s="20" t="n"/>
      <c r="L140" s="41">
        <f>IF(OR(I140="",K140=""),"",EDATE(I140,-K140))</f>
        <v/>
      </c>
      <c r="M140" s="18" t="n"/>
      <c r="N140" s="45">
        <f>IF(A140="","",COUNTIF('業務'!$M$4:$M$200,A140))</f>
        <v/>
      </c>
      <c r="O140" s="41">
        <f>IF(A140="","",IF(N140=0,"対象外",IF(COUNTIFS('業務'!$M$4:$M$200,A140,'業務'!$P$4:$P$200,"移管")=N140,"移管",IF(COUNTIFS('業務'!$M$4:$M$200,A140,'業務'!$P$4:$P$200,"移管")&gt;0,"一部",IF(COUNTIFS('業務'!$M$4:$M$200,A140,'業務'!$P$4:$P$200,"対象外")+COUNTIFS('業務'!$M$4:$M$200,A140,'業務'!$P$4:$P$200,"留保")=N140,IF(COUNTIFS('業務'!$M$4:$M$200,A140,'業務'!$P$4:$P$200,"留保")&gt;0,"留保","対象外"),"判定保留")))))</f>
        <v/>
      </c>
    </row>
    <row r="141">
      <c r="A141" s="17" t="n"/>
      <c r="B141" s="17" t="n"/>
      <c r="C141" s="17" t="n"/>
      <c r="D141" s="41">
        <f>IF(C141="","",IFERROR(INDEX('予算シート'!$B:$B,MATCH(C141,'予算シート'!$A:$A,0)),"案件が未登録"))</f>
        <v/>
      </c>
      <c r="E141" s="17" t="n"/>
      <c r="F141" s="17" t="n"/>
      <c r="G141" s="17" t="n"/>
      <c r="H141" s="29" t="n"/>
      <c r="I141" s="29" t="n"/>
      <c r="J141" s="17" t="n"/>
      <c r="K141" s="20" t="n"/>
      <c r="L141" s="41">
        <f>IF(OR(I141="",K141=""),"",EDATE(I141,-K141))</f>
        <v/>
      </c>
      <c r="M141" s="18" t="n"/>
      <c r="N141" s="45">
        <f>IF(A141="","",COUNTIF('業務'!$M$4:$M$200,A141))</f>
        <v/>
      </c>
      <c r="O141" s="41">
        <f>IF(A141="","",IF(N141=0,"対象外",IF(COUNTIFS('業務'!$M$4:$M$200,A141,'業務'!$P$4:$P$200,"移管")=N141,"移管",IF(COUNTIFS('業務'!$M$4:$M$200,A141,'業務'!$P$4:$P$200,"移管")&gt;0,"一部",IF(COUNTIFS('業務'!$M$4:$M$200,A141,'業務'!$P$4:$P$200,"対象外")+COUNTIFS('業務'!$M$4:$M$200,A141,'業務'!$P$4:$P$200,"留保")=N141,IF(COUNTIFS('業務'!$M$4:$M$200,A141,'業務'!$P$4:$P$200,"留保")&gt;0,"留保","対象外"),"判定保留")))))</f>
        <v/>
      </c>
    </row>
    <row r="142">
      <c r="A142" s="17" t="n"/>
      <c r="B142" s="17" t="n"/>
      <c r="C142" s="17" t="n"/>
      <c r="D142" s="41">
        <f>IF(C142="","",IFERROR(INDEX('予算シート'!$B:$B,MATCH(C142,'予算シート'!$A:$A,0)),"案件が未登録"))</f>
        <v/>
      </c>
      <c r="E142" s="17" t="n"/>
      <c r="F142" s="17" t="n"/>
      <c r="G142" s="17" t="n"/>
      <c r="H142" s="29" t="n"/>
      <c r="I142" s="29" t="n"/>
      <c r="J142" s="17" t="n"/>
      <c r="K142" s="20" t="n"/>
      <c r="L142" s="41">
        <f>IF(OR(I142="",K142=""),"",EDATE(I142,-K142))</f>
        <v/>
      </c>
      <c r="M142" s="18" t="n"/>
      <c r="N142" s="45">
        <f>IF(A142="","",COUNTIF('業務'!$M$4:$M$200,A142))</f>
        <v/>
      </c>
      <c r="O142" s="41">
        <f>IF(A142="","",IF(N142=0,"対象外",IF(COUNTIFS('業務'!$M$4:$M$200,A142,'業務'!$P$4:$P$200,"移管")=N142,"移管",IF(COUNTIFS('業務'!$M$4:$M$200,A142,'業務'!$P$4:$P$200,"移管")&gt;0,"一部",IF(COUNTIFS('業務'!$M$4:$M$200,A142,'業務'!$P$4:$P$200,"対象外")+COUNTIFS('業務'!$M$4:$M$200,A142,'業務'!$P$4:$P$200,"留保")=N142,IF(COUNTIFS('業務'!$M$4:$M$200,A142,'業務'!$P$4:$P$200,"留保")&gt;0,"留保","対象外"),"判定保留")))))</f>
        <v/>
      </c>
    </row>
    <row r="143">
      <c r="A143" s="17" t="n"/>
      <c r="B143" s="17" t="n"/>
      <c r="C143" s="17" t="n"/>
      <c r="D143" s="41">
        <f>IF(C143="","",IFERROR(INDEX('予算シート'!$B:$B,MATCH(C143,'予算シート'!$A:$A,0)),"案件が未登録"))</f>
        <v/>
      </c>
      <c r="E143" s="17" t="n"/>
      <c r="F143" s="17" t="n"/>
      <c r="G143" s="17" t="n"/>
      <c r="H143" s="29" t="n"/>
      <c r="I143" s="29" t="n"/>
      <c r="J143" s="17" t="n"/>
      <c r="K143" s="20" t="n"/>
      <c r="L143" s="41">
        <f>IF(OR(I143="",K143=""),"",EDATE(I143,-K143))</f>
        <v/>
      </c>
      <c r="M143" s="18" t="n"/>
      <c r="N143" s="45">
        <f>IF(A143="","",COUNTIF('業務'!$M$4:$M$200,A143))</f>
        <v/>
      </c>
      <c r="O143" s="41">
        <f>IF(A143="","",IF(N143=0,"対象外",IF(COUNTIFS('業務'!$M$4:$M$200,A143,'業務'!$P$4:$P$200,"移管")=N143,"移管",IF(COUNTIFS('業務'!$M$4:$M$200,A143,'業務'!$P$4:$P$200,"移管")&gt;0,"一部",IF(COUNTIFS('業務'!$M$4:$M$200,A143,'業務'!$P$4:$P$200,"対象外")+COUNTIFS('業務'!$M$4:$M$200,A143,'業務'!$P$4:$P$200,"留保")=N143,IF(COUNTIFS('業務'!$M$4:$M$200,A143,'業務'!$P$4:$P$200,"留保")&gt;0,"留保","対象外"),"判定保留")))))</f>
        <v/>
      </c>
    </row>
    <row r="144">
      <c r="A144" s="17" t="n"/>
      <c r="B144" s="17" t="n"/>
      <c r="C144" s="17" t="n"/>
      <c r="D144" s="41">
        <f>IF(C144="","",IFERROR(INDEX('予算シート'!$B:$B,MATCH(C144,'予算シート'!$A:$A,0)),"案件が未登録"))</f>
        <v/>
      </c>
      <c r="E144" s="17" t="n"/>
      <c r="F144" s="17" t="n"/>
      <c r="G144" s="17" t="n"/>
      <c r="H144" s="29" t="n"/>
      <c r="I144" s="29" t="n"/>
      <c r="J144" s="17" t="n"/>
      <c r="K144" s="20" t="n"/>
      <c r="L144" s="41">
        <f>IF(OR(I144="",K144=""),"",EDATE(I144,-K144))</f>
        <v/>
      </c>
      <c r="M144" s="18" t="n"/>
      <c r="N144" s="45">
        <f>IF(A144="","",COUNTIF('業務'!$M$4:$M$200,A144))</f>
        <v/>
      </c>
      <c r="O144" s="41">
        <f>IF(A144="","",IF(N144=0,"対象外",IF(COUNTIFS('業務'!$M$4:$M$200,A144,'業務'!$P$4:$P$200,"移管")=N144,"移管",IF(COUNTIFS('業務'!$M$4:$M$200,A144,'業務'!$P$4:$P$200,"移管")&gt;0,"一部",IF(COUNTIFS('業務'!$M$4:$M$200,A144,'業務'!$P$4:$P$200,"対象外")+COUNTIFS('業務'!$M$4:$M$200,A144,'業務'!$P$4:$P$200,"留保")=N144,IF(COUNTIFS('業務'!$M$4:$M$200,A144,'業務'!$P$4:$P$200,"留保")&gt;0,"留保","対象外"),"判定保留")))))</f>
        <v/>
      </c>
    </row>
    <row r="145">
      <c r="A145" s="17" t="n"/>
      <c r="B145" s="17" t="n"/>
      <c r="C145" s="17" t="n"/>
      <c r="D145" s="41">
        <f>IF(C145="","",IFERROR(INDEX('予算シート'!$B:$B,MATCH(C145,'予算シート'!$A:$A,0)),"案件が未登録"))</f>
        <v/>
      </c>
      <c r="E145" s="17" t="n"/>
      <c r="F145" s="17" t="n"/>
      <c r="G145" s="17" t="n"/>
      <c r="H145" s="29" t="n"/>
      <c r="I145" s="29" t="n"/>
      <c r="J145" s="17" t="n"/>
      <c r="K145" s="20" t="n"/>
      <c r="L145" s="41">
        <f>IF(OR(I145="",K145=""),"",EDATE(I145,-K145))</f>
        <v/>
      </c>
      <c r="M145" s="18" t="n"/>
      <c r="N145" s="45">
        <f>IF(A145="","",COUNTIF('業務'!$M$4:$M$200,A145))</f>
        <v/>
      </c>
      <c r="O145" s="41">
        <f>IF(A145="","",IF(N145=0,"対象外",IF(COUNTIFS('業務'!$M$4:$M$200,A145,'業務'!$P$4:$P$200,"移管")=N145,"移管",IF(COUNTIFS('業務'!$M$4:$M$200,A145,'業務'!$P$4:$P$200,"移管")&gt;0,"一部",IF(COUNTIFS('業務'!$M$4:$M$200,A145,'業務'!$P$4:$P$200,"対象外")+COUNTIFS('業務'!$M$4:$M$200,A145,'業務'!$P$4:$P$200,"留保")=N145,IF(COUNTIFS('業務'!$M$4:$M$200,A145,'業務'!$P$4:$P$200,"留保")&gt;0,"留保","対象外"),"判定保留")))))</f>
        <v/>
      </c>
    </row>
    <row r="146">
      <c r="A146" s="17" t="n"/>
      <c r="B146" s="17" t="n"/>
      <c r="C146" s="17" t="n"/>
      <c r="D146" s="41">
        <f>IF(C146="","",IFERROR(INDEX('予算シート'!$B:$B,MATCH(C146,'予算シート'!$A:$A,0)),"案件が未登録"))</f>
        <v/>
      </c>
      <c r="E146" s="17" t="n"/>
      <c r="F146" s="17" t="n"/>
      <c r="G146" s="17" t="n"/>
      <c r="H146" s="29" t="n"/>
      <c r="I146" s="29" t="n"/>
      <c r="J146" s="17" t="n"/>
      <c r="K146" s="20" t="n"/>
      <c r="L146" s="41">
        <f>IF(OR(I146="",K146=""),"",EDATE(I146,-K146))</f>
        <v/>
      </c>
      <c r="M146" s="18" t="n"/>
      <c r="N146" s="45">
        <f>IF(A146="","",COUNTIF('業務'!$M$4:$M$200,A146))</f>
        <v/>
      </c>
      <c r="O146" s="41">
        <f>IF(A146="","",IF(N146=0,"対象外",IF(COUNTIFS('業務'!$M$4:$M$200,A146,'業務'!$P$4:$P$200,"移管")=N146,"移管",IF(COUNTIFS('業務'!$M$4:$M$200,A146,'業務'!$P$4:$P$200,"移管")&gt;0,"一部",IF(COUNTIFS('業務'!$M$4:$M$200,A146,'業務'!$P$4:$P$200,"対象外")+COUNTIFS('業務'!$M$4:$M$200,A146,'業務'!$P$4:$P$200,"留保")=N146,IF(COUNTIFS('業務'!$M$4:$M$200,A146,'業務'!$P$4:$P$200,"留保")&gt;0,"留保","対象外"),"判定保留")))))</f>
        <v/>
      </c>
    </row>
    <row r="147">
      <c r="A147" s="17" t="n"/>
      <c r="B147" s="17" t="n"/>
      <c r="C147" s="17" t="n"/>
      <c r="D147" s="41">
        <f>IF(C147="","",IFERROR(INDEX('予算シート'!$B:$B,MATCH(C147,'予算シート'!$A:$A,0)),"案件が未登録"))</f>
        <v/>
      </c>
      <c r="E147" s="17" t="n"/>
      <c r="F147" s="17" t="n"/>
      <c r="G147" s="17" t="n"/>
      <c r="H147" s="29" t="n"/>
      <c r="I147" s="29" t="n"/>
      <c r="J147" s="17" t="n"/>
      <c r="K147" s="20" t="n"/>
      <c r="L147" s="41">
        <f>IF(OR(I147="",K147=""),"",EDATE(I147,-K147))</f>
        <v/>
      </c>
      <c r="M147" s="18" t="n"/>
      <c r="N147" s="45">
        <f>IF(A147="","",COUNTIF('業務'!$M$4:$M$200,A147))</f>
        <v/>
      </c>
      <c r="O147" s="41">
        <f>IF(A147="","",IF(N147=0,"対象外",IF(COUNTIFS('業務'!$M$4:$M$200,A147,'業務'!$P$4:$P$200,"移管")=N147,"移管",IF(COUNTIFS('業務'!$M$4:$M$200,A147,'業務'!$P$4:$P$200,"移管")&gt;0,"一部",IF(COUNTIFS('業務'!$M$4:$M$200,A147,'業務'!$P$4:$P$200,"対象外")+COUNTIFS('業務'!$M$4:$M$200,A147,'業務'!$P$4:$P$200,"留保")=N147,IF(COUNTIFS('業務'!$M$4:$M$200,A147,'業務'!$P$4:$P$200,"留保")&gt;0,"留保","対象外"),"判定保留")))))</f>
        <v/>
      </c>
    </row>
    <row r="148">
      <c r="A148" s="17" t="n"/>
      <c r="B148" s="17" t="n"/>
      <c r="C148" s="17" t="n"/>
      <c r="D148" s="41">
        <f>IF(C148="","",IFERROR(INDEX('予算シート'!$B:$B,MATCH(C148,'予算シート'!$A:$A,0)),"案件が未登録"))</f>
        <v/>
      </c>
      <c r="E148" s="17" t="n"/>
      <c r="F148" s="17" t="n"/>
      <c r="G148" s="17" t="n"/>
      <c r="H148" s="29" t="n"/>
      <c r="I148" s="29" t="n"/>
      <c r="J148" s="17" t="n"/>
      <c r="K148" s="20" t="n"/>
      <c r="L148" s="41">
        <f>IF(OR(I148="",K148=""),"",EDATE(I148,-K148))</f>
        <v/>
      </c>
      <c r="M148" s="18" t="n"/>
      <c r="N148" s="45">
        <f>IF(A148="","",COUNTIF('業務'!$M$4:$M$200,A148))</f>
        <v/>
      </c>
      <c r="O148" s="41">
        <f>IF(A148="","",IF(N148=0,"対象外",IF(COUNTIFS('業務'!$M$4:$M$200,A148,'業務'!$P$4:$P$200,"移管")=N148,"移管",IF(COUNTIFS('業務'!$M$4:$M$200,A148,'業務'!$P$4:$P$200,"移管")&gt;0,"一部",IF(COUNTIFS('業務'!$M$4:$M$200,A148,'業務'!$P$4:$P$200,"対象外")+COUNTIFS('業務'!$M$4:$M$200,A148,'業務'!$P$4:$P$200,"留保")=N148,IF(COUNTIFS('業務'!$M$4:$M$200,A148,'業務'!$P$4:$P$200,"留保")&gt;0,"留保","対象外"),"判定保留")))))</f>
        <v/>
      </c>
    </row>
    <row r="149">
      <c r="A149" s="17" t="n"/>
      <c r="B149" s="17" t="n"/>
      <c r="C149" s="17" t="n"/>
      <c r="D149" s="41">
        <f>IF(C149="","",IFERROR(INDEX('予算シート'!$B:$B,MATCH(C149,'予算シート'!$A:$A,0)),"案件が未登録"))</f>
        <v/>
      </c>
      <c r="E149" s="17" t="n"/>
      <c r="F149" s="17" t="n"/>
      <c r="G149" s="17" t="n"/>
      <c r="H149" s="29" t="n"/>
      <c r="I149" s="29" t="n"/>
      <c r="J149" s="17" t="n"/>
      <c r="K149" s="20" t="n"/>
      <c r="L149" s="41">
        <f>IF(OR(I149="",K149=""),"",EDATE(I149,-K149))</f>
        <v/>
      </c>
      <c r="M149" s="18" t="n"/>
      <c r="N149" s="45">
        <f>IF(A149="","",COUNTIF('業務'!$M$4:$M$200,A149))</f>
        <v/>
      </c>
      <c r="O149" s="41">
        <f>IF(A149="","",IF(N149=0,"対象外",IF(COUNTIFS('業務'!$M$4:$M$200,A149,'業務'!$P$4:$P$200,"移管")=N149,"移管",IF(COUNTIFS('業務'!$M$4:$M$200,A149,'業務'!$P$4:$P$200,"移管")&gt;0,"一部",IF(COUNTIFS('業務'!$M$4:$M$200,A149,'業務'!$P$4:$P$200,"対象外")+COUNTIFS('業務'!$M$4:$M$200,A149,'業務'!$P$4:$P$200,"留保")=N149,IF(COUNTIFS('業務'!$M$4:$M$200,A149,'業務'!$P$4:$P$200,"留保")&gt;0,"留保","対象外"),"判定保留")))))</f>
        <v/>
      </c>
    </row>
    <row r="150">
      <c r="A150" s="17" t="n"/>
      <c r="B150" s="17" t="n"/>
      <c r="C150" s="17" t="n"/>
      <c r="D150" s="41">
        <f>IF(C150="","",IFERROR(INDEX('予算シート'!$B:$B,MATCH(C150,'予算シート'!$A:$A,0)),"案件が未登録"))</f>
        <v/>
      </c>
      <c r="E150" s="17" t="n"/>
      <c r="F150" s="17" t="n"/>
      <c r="G150" s="17" t="n"/>
      <c r="H150" s="29" t="n"/>
      <c r="I150" s="29" t="n"/>
      <c r="J150" s="17" t="n"/>
      <c r="K150" s="20" t="n"/>
      <c r="L150" s="41">
        <f>IF(OR(I150="",K150=""),"",EDATE(I150,-K150))</f>
        <v/>
      </c>
      <c r="M150" s="18" t="n"/>
      <c r="N150" s="45">
        <f>IF(A150="","",COUNTIF('業務'!$M$4:$M$200,A150))</f>
        <v/>
      </c>
      <c r="O150" s="41">
        <f>IF(A150="","",IF(N150=0,"対象外",IF(COUNTIFS('業務'!$M$4:$M$200,A150,'業務'!$P$4:$P$200,"移管")=N150,"移管",IF(COUNTIFS('業務'!$M$4:$M$200,A150,'業務'!$P$4:$P$200,"移管")&gt;0,"一部",IF(COUNTIFS('業務'!$M$4:$M$200,A150,'業務'!$P$4:$P$200,"対象外")+COUNTIFS('業務'!$M$4:$M$200,A150,'業務'!$P$4:$P$200,"留保")=N150,IF(COUNTIFS('業務'!$M$4:$M$200,A150,'業務'!$P$4:$P$200,"留保")&gt;0,"留保","対象外"),"判定保留")))))</f>
        <v/>
      </c>
    </row>
    <row r="151">
      <c r="A151" s="17" t="n"/>
      <c r="B151" s="17" t="n"/>
      <c r="C151" s="17" t="n"/>
      <c r="D151" s="41">
        <f>IF(C151="","",IFERROR(INDEX('予算シート'!$B:$B,MATCH(C151,'予算シート'!$A:$A,0)),"案件が未登録"))</f>
        <v/>
      </c>
      <c r="E151" s="17" t="n"/>
      <c r="F151" s="17" t="n"/>
      <c r="G151" s="17" t="n"/>
      <c r="H151" s="29" t="n"/>
      <c r="I151" s="29" t="n"/>
      <c r="J151" s="17" t="n"/>
      <c r="K151" s="20" t="n"/>
      <c r="L151" s="41">
        <f>IF(OR(I151="",K151=""),"",EDATE(I151,-K151))</f>
        <v/>
      </c>
      <c r="M151" s="18" t="n"/>
      <c r="N151" s="45">
        <f>IF(A151="","",COUNTIF('業務'!$M$4:$M$200,A151))</f>
        <v/>
      </c>
      <c r="O151" s="41">
        <f>IF(A151="","",IF(N151=0,"対象外",IF(COUNTIFS('業務'!$M$4:$M$200,A151,'業務'!$P$4:$P$200,"移管")=N151,"移管",IF(COUNTIFS('業務'!$M$4:$M$200,A151,'業務'!$P$4:$P$200,"移管")&gt;0,"一部",IF(COUNTIFS('業務'!$M$4:$M$200,A151,'業務'!$P$4:$P$200,"対象外")+COUNTIFS('業務'!$M$4:$M$200,A151,'業務'!$P$4:$P$200,"留保")=N151,IF(COUNTIFS('業務'!$M$4:$M$200,A151,'業務'!$P$4:$P$200,"留保")&gt;0,"留保","対象外"),"判定保留")))))</f>
        <v/>
      </c>
    </row>
    <row r="152">
      <c r="A152" s="17" t="n"/>
      <c r="B152" s="17" t="n"/>
      <c r="C152" s="17" t="n"/>
      <c r="D152" s="41">
        <f>IF(C152="","",IFERROR(INDEX('予算シート'!$B:$B,MATCH(C152,'予算シート'!$A:$A,0)),"案件が未登録"))</f>
        <v/>
      </c>
      <c r="E152" s="17" t="n"/>
      <c r="F152" s="17" t="n"/>
      <c r="G152" s="17" t="n"/>
      <c r="H152" s="29" t="n"/>
      <c r="I152" s="29" t="n"/>
      <c r="J152" s="17" t="n"/>
      <c r="K152" s="20" t="n"/>
      <c r="L152" s="41">
        <f>IF(OR(I152="",K152=""),"",EDATE(I152,-K152))</f>
        <v/>
      </c>
      <c r="M152" s="18" t="n"/>
      <c r="N152" s="45">
        <f>IF(A152="","",COUNTIF('業務'!$M$4:$M$200,A152))</f>
        <v/>
      </c>
      <c r="O152" s="41">
        <f>IF(A152="","",IF(N152=0,"対象外",IF(COUNTIFS('業務'!$M$4:$M$200,A152,'業務'!$P$4:$P$200,"移管")=N152,"移管",IF(COUNTIFS('業務'!$M$4:$M$200,A152,'業務'!$P$4:$P$200,"移管")&gt;0,"一部",IF(COUNTIFS('業務'!$M$4:$M$200,A152,'業務'!$P$4:$P$200,"対象外")+COUNTIFS('業務'!$M$4:$M$200,A152,'業務'!$P$4:$P$200,"留保")=N152,IF(COUNTIFS('業務'!$M$4:$M$200,A152,'業務'!$P$4:$P$200,"留保")&gt;0,"留保","対象外"),"判定保留")))))</f>
        <v/>
      </c>
    </row>
    <row r="153">
      <c r="A153" s="17" t="n"/>
      <c r="B153" s="17" t="n"/>
      <c r="C153" s="17" t="n"/>
      <c r="D153" s="41">
        <f>IF(C153="","",IFERROR(INDEX('予算シート'!$B:$B,MATCH(C153,'予算シート'!$A:$A,0)),"案件が未登録"))</f>
        <v/>
      </c>
      <c r="E153" s="17" t="n"/>
      <c r="F153" s="17" t="n"/>
      <c r="G153" s="17" t="n"/>
      <c r="H153" s="29" t="n"/>
      <c r="I153" s="29" t="n"/>
      <c r="J153" s="17" t="n"/>
      <c r="K153" s="20" t="n"/>
      <c r="L153" s="41">
        <f>IF(OR(I153="",K153=""),"",EDATE(I153,-K153))</f>
        <v/>
      </c>
      <c r="M153" s="18" t="n"/>
      <c r="N153" s="45">
        <f>IF(A153="","",COUNTIF('業務'!$M$4:$M$200,A153))</f>
        <v/>
      </c>
      <c r="O153" s="41">
        <f>IF(A153="","",IF(N153=0,"対象外",IF(COUNTIFS('業務'!$M$4:$M$200,A153,'業務'!$P$4:$P$200,"移管")=N153,"移管",IF(COUNTIFS('業務'!$M$4:$M$200,A153,'業務'!$P$4:$P$200,"移管")&gt;0,"一部",IF(COUNTIFS('業務'!$M$4:$M$200,A153,'業務'!$P$4:$P$200,"対象外")+COUNTIFS('業務'!$M$4:$M$200,A153,'業務'!$P$4:$P$200,"留保")=N153,IF(COUNTIFS('業務'!$M$4:$M$200,A153,'業務'!$P$4:$P$200,"留保")&gt;0,"留保","対象外"),"判定保留")))))</f>
        <v/>
      </c>
    </row>
    <row r="154">
      <c r="A154" s="17" t="n"/>
      <c r="B154" s="17" t="n"/>
      <c r="C154" s="17" t="n"/>
      <c r="D154" s="41">
        <f>IF(C154="","",IFERROR(INDEX('予算シート'!$B:$B,MATCH(C154,'予算シート'!$A:$A,0)),"案件が未登録"))</f>
        <v/>
      </c>
      <c r="E154" s="17" t="n"/>
      <c r="F154" s="17" t="n"/>
      <c r="G154" s="17" t="n"/>
      <c r="H154" s="29" t="n"/>
      <c r="I154" s="29" t="n"/>
      <c r="J154" s="17" t="n"/>
      <c r="K154" s="20" t="n"/>
      <c r="L154" s="41">
        <f>IF(OR(I154="",K154=""),"",EDATE(I154,-K154))</f>
        <v/>
      </c>
      <c r="M154" s="18" t="n"/>
      <c r="N154" s="45">
        <f>IF(A154="","",COUNTIF('業務'!$M$4:$M$200,A154))</f>
        <v/>
      </c>
      <c r="O154" s="41">
        <f>IF(A154="","",IF(N154=0,"対象外",IF(COUNTIFS('業務'!$M$4:$M$200,A154,'業務'!$P$4:$P$200,"移管")=N154,"移管",IF(COUNTIFS('業務'!$M$4:$M$200,A154,'業務'!$P$4:$P$200,"移管")&gt;0,"一部",IF(COUNTIFS('業務'!$M$4:$M$200,A154,'業務'!$P$4:$P$200,"対象外")+COUNTIFS('業務'!$M$4:$M$200,A154,'業務'!$P$4:$P$200,"留保")=N154,IF(COUNTIFS('業務'!$M$4:$M$200,A154,'業務'!$P$4:$P$200,"留保")&gt;0,"留保","対象外"),"判定保留")))))</f>
        <v/>
      </c>
    </row>
    <row r="155">
      <c r="A155" s="17" t="n"/>
      <c r="B155" s="17" t="n"/>
      <c r="C155" s="17" t="n"/>
      <c r="D155" s="41">
        <f>IF(C155="","",IFERROR(INDEX('予算シート'!$B:$B,MATCH(C155,'予算シート'!$A:$A,0)),"案件が未登録"))</f>
        <v/>
      </c>
      <c r="E155" s="17" t="n"/>
      <c r="F155" s="17" t="n"/>
      <c r="G155" s="17" t="n"/>
      <c r="H155" s="29" t="n"/>
      <c r="I155" s="29" t="n"/>
      <c r="J155" s="17" t="n"/>
      <c r="K155" s="20" t="n"/>
      <c r="L155" s="41">
        <f>IF(OR(I155="",K155=""),"",EDATE(I155,-K155))</f>
        <v/>
      </c>
      <c r="M155" s="18" t="n"/>
      <c r="N155" s="45">
        <f>IF(A155="","",COUNTIF('業務'!$M$4:$M$200,A155))</f>
        <v/>
      </c>
      <c r="O155" s="41">
        <f>IF(A155="","",IF(N155=0,"対象外",IF(COUNTIFS('業務'!$M$4:$M$200,A155,'業務'!$P$4:$P$200,"移管")=N155,"移管",IF(COUNTIFS('業務'!$M$4:$M$200,A155,'業務'!$P$4:$P$200,"移管")&gt;0,"一部",IF(COUNTIFS('業務'!$M$4:$M$200,A155,'業務'!$P$4:$P$200,"対象外")+COUNTIFS('業務'!$M$4:$M$200,A155,'業務'!$P$4:$P$200,"留保")=N155,IF(COUNTIFS('業務'!$M$4:$M$200,A155,'業務'!$P$4:$P$200,"留保")&gt;0,"留保","対象外"),"判定保留")))))</f>
        <v/>
      </c>
    </row>
    <row r="156">
      <c r="A156" s="17" t="n"/>
      <c r="B156" s="17" t="n"/>
      <c r="C156" s="17" t="n"/>
      <c r="D156" s="41">
        <f>IF(C156="","",IFERROR(INDEX('予算シート'!$B:$B,MATCH(C156,'予算シート'!$A:$A,0)),"案件が未登録"))</f>
        <v/>
      </c>
      <c r="E156" s="17" t="n"/>
      <c r="F156" s="17" t="n"/>
      <c r="G156" s="17" t="n"/>
      <c r="H156" s="29" t="n"/>
      <c r="I156" s="29" t="n"/>
      <c r="J156" s="17" t="n"/>
      <c r="K156" s="20" t="n"/>
      <c r="L156" s="41">
        <f>IF(OR(I156="",K156=""),"",EDATE(I156,-K156))</f>
        <v/>
      </c>
      <c r="M156" s="18" t="n"/>
      <c r="N156" s="45">
        <f>IF(A156="","",COUNTIF('業務'!$M$4:$M$200,A156))</f>
        <v/>
      </c>
      <c r="O156" s="41">
        <f>IF(A156="","",IF(N156=0,"対象外",IF(COUNTIFS('業務'!$M$4:$M$200,A156,'業務'!$P$4:$P$200,"移管")=N156,"移管",IF(COUNTIFS('業務'!$M$4:$M$200,A156,'業務'!$P$4:$P$200,"移管")&gt;0,"一部",IF(COUNTIFS('業務'!$M$4:$M$200,A156,'業務'!$P$4:$P$200,"対象外")+COUNTIFS('業務'!$M$4:$M$200,A156,'業務'!$P$4:$P$200,"留保")=N156,IF(COUNTIFS('業務'!$M$4:$M$200,A156,'業務'!$P$4:$P$200,"留保")&gt;0,"留保","対象外"),"判定保留")))))</f>
        <v/>
      </c>
    </row>
    <row r="157">
      <c r="A157" s="17" t="n"/>
      <c r="B157" s="17" t="n"/>
      <c r="C157" s="17" t="n"/>
      <c r="D157" s="41">
        <f>IF(C157="","",IFERROR(INDEX('予算シート'!$B:$B,MATCH(C157,'予算シート'!$A:$A,0)),"案件が未登録"))</f>
        <v/>
      </c>
      <c r="E157" s="17" t="n"/>
      <c r="F157" s="17" t="n"/>
      <c r="G157" s="17" t="n"/>
      <c r="H157" s="29" t="n"/>
      <c r="I157" s="29" t="n"/>
      <c r="J157" s="17" t="n"/>
      <c r="K157" s="20" t="n"/>
      <c r="L157" s="41">
        <f>IF(OR(I157="",K157=""),"",EDATE(I157,-K157))</f>
        <v/>
      </c>
      <c r="M157" s="18" t="n"/>
      <c r="N157" s="45">
        <f>IF(A157="","",COUNTIF('業務'!$M$4:$M$200,A157))</f>
        <v/>
      </c>
      <c r="O157" s="41">
        <f>IF(A157="","",IF(N157=0,"対象外",IF(COUNTIFS('業務'!$M$4:$M$200,A157,'業務'!$P$4:$P$200,"移管")=N157,"移管",IF(COUNTIFS('業務'!$M$4:$M$200,A157,'業務'!$P$4:$P$200,"移管")&gt;0,"一部",IF(COUNTIFS('業務'!$M$4:$M$200,A157,'業務'!$P$4:$P$200,"対象外")+COUNTIFS('業務'!$M$4:$M$200,A157,'業務'!$P$4:$P$200,"留保")=N157,IF(COUNTIFS('業務'!$M$4:$M$200,A157,'業務'!$P$4:$P$200,"留保")&gt;0,"留保","対象外"),"判定保留")))))</f>
        <v/>
      </c>
    </row>
    <row r="158">
      <c r="A158" s="17" t="n"/>
      <c r="B158" s="17" t="n"/>
      <c r="C158" s="17" t="n"/>
      <c r="D158" s="41">
        <f>IF(C158="","",IFERROR(INDEX('予算シート'!$B:$B,MATCH(C158,'予算シート'!$A:$A,0)),"案件が未登録"))</f>
        <v/>
      </c>
      <c r="E158" s="17" t="n"/>
      <c r="F158" s="17" t="n"/>
      <c r="G158" s="17" t="n"/>
      <c r="H158" s="29" t="n"/>
      <c r="I158" s="29" t="n"/>
      <c r="J158" s="17" t="n"/>
      <c r="K158" s="20" t="n"/>
      <c r="L158" s="41">
        <f>IF(OR(I158="",K158=""),"",EDATE(I158,-K158))</f>
        <v/>
      </c>
      <c r="M158" s="18" t="n"/>
      <c r="N158" s="45">
        <f>IF(A158="","",COUNTIF('業務'!$M$4:$M$200,A158))</f>
        <v/>
      </c>
      <c r="O158" s="41">
        <f>IF(A158="","",IF(N158=0,"対象外",IF(COUNTIFS('業務'!$M$4:$M$200,A158,'業務'!$P$4:$P$200,"移管")=N158,"移管",IF(COUNTIFS('業務'!$M$4:$M$200,A158,'業務'!$P$4:$P$200,"移管")&gt;0,"一部",IF(COUNTIFS('業務'!$M$4:$M$200,A158,'業務'!$P$4:$P$200,"対象外")+COUNTIFS('業務'!$M$4:$M$200,A158,'業務'!$P$4:$P$200,"留保")=N158,IF(COUNTIFS('業務'!$M$4:$M$200,A158,'業務'!$P$4:$P$200,"留保")&gt;0,"留保","対象外"),"判定保留")))))</f>
        <v/>
      </c>
    </row>
    <row r="159">
      <c r="A159" s="17" t="n"/>
      <c r="B159" s="17" t="n"/>
      <c r="C159" s="17" t="n"/>
      <c r="D159" s="41">
        <f>IF(C159="","",IFERROR(INDEX('予算シート'!$B:$B,MATCH(C159,'予算シート'!$A:$A,0)),"案件が未登録"))</f>
        <v/>
      </c>
      <c r="E159" s="17" t="n"/>
      <c r="F159" s="17" t="n"/>
      <c r="G159" s="17" t="n"/>
      <c r="H159" s="29" t="n"/>
      <c r="I159" s="29" t="n"/>
      <c r="J159" s="17" t="n"/>
      <c r="K159" s="20" t="n"/>
      <c r="L159" s="41">
        <f>IF(OR(I159="",K159=""),"",EDATE(I159,-K159))</f>
        <v/>
      </c>
      <c r="M159" s="18" t="n"/>
      <c r="N159" s="45">
        <f>IF(A159="","",COUNTIF('業務'!$M$4:$M$200,A159))</f>
        <v/>
      </c>
      <c r="O159" s="41">
        <f>IF(A159="","",IF(N159=0,"対象外",IF(COUNTIFS('業務'!$M$4:$M$200,A159,'業務'!$P$4:$P$200,"移管")=N159,"移管",IF(COUNTIFS('業務'!$M$4:$M$200,A159,'業務'!$P$4:$P$200,"移管")&gt;0,"一部",IF(COUNTIFS('業務'!$M$4:$M$200,A159,'業務'!$P$4:$P$200,"対象外")+COUNTIFS('業務'!$M$4:$M$200,A159,'業務'!$P$4:$P$200,"留保")=N159,IF(COUNTIFS('業務'!$M$4:$M$200,A159,'業務'!$P$4:$P$200,"留保")&gt;0,"留保","対象外"),"判定保留")))))</f>
        <v/>
      </c>
    </row>
    <row r="160">
      <c r="A160" s="17" t="n"/>
      <c r="B160" s="17" t="n"/>
      <c r="C160" s="17" t="n"/>
      <c r="D160" s="41">
        <f>IF(C160="","",IFERROR(INDEX('予算シート'!$B:$B,MATCH(C160,'予算シート'!$A:$A,0)),"案件が未登録"))</f>
        <v/>
      </c>
      <c r="E160" s="17" t="n"/>
      <c r="F160" s="17" t="n"/>
      <c r="G160" s="17" t="n"/>
      <c r="H160" s="29" t="n"/>
      <c r="I160" s="29" t="n"/>
      <c r="J160" s="17" t="n"/>
      <c r="K160" s="20" t="n"/>
      <c r="L160" s="41">
        <f>IF(OR(I160="",K160=""),"",EDATE(I160,-K160))</f>
        <v/>
      </c>
      <c r="M160" s="18" t="n"/>
      <c r="N160" s="45">
        <f>IF(A160="","",COUNTIF('業務'!$M$4:$M$200,A160))</f>
        <v/>
      </c>
      <c r="O160" s="41">
        <f>IF(A160="","",IF(N160=0,"対象外",IF(COUNTIFS('業務'!$M$4:$M$200,A160,'業務'!$P$4:$P$200,"移管")=N160,"移管",IF(COUNTIFS('業務'!$M$4:$M$200,A160,'業務'!$P$4:$P$200,"移管")&gt;0,"一部",IF(COUNTIFS('業務'!$M$4:$M$200,A160,'業務'!$P$4:$P$200,"対象外")+COUNTIFS('業務'!$M$4:$M$200,A160,'業務'!$P$4:$P$200,"留保")=N160,IF(COUNTIFS('業務'!$M$4:$M$200,A160,'業務'!$P$4:$P$200,"留保")&gt;0,"留保","対象外"),"判定保留")))))</f>
        <v/>
      </c>
    </row>
    <row r="161">
      <c r="A161" s="17" t="n"/>
      <c r="B161" s="17" t="n"/>
      <c r="C161" s="17" t="n"/>
      <c r="D161" s="41">
        <f>IF(C161="","",IFERROR(INDEX('予算シート'!$B:$B,MATCH(C161,'予算シート'!$A:$A,0)),"案件が未登録"))</f>
        <v/>
      </c>
      <c r="E161" s="17" t="n"/>
      <c r="F161" s="17" t="n"/>
      <c r="G161" s="17" t="n"/>
      <c r="H161" s="29" t="n"/>
      <c r="I161" s="29" t="n"/>
      <c r="J161" s="17" t="n"/>
      <c r="K161" s="20" t="n"/>
      <c r="L161" s="41">
        <f>IF(OR(I161="",K161=""),"",EDATE(I161,-K161))</f>
        <v/>
      </c>
      <c r="M161" s="18" t="n"/>
      <c r="N161" s="45">
        <f>IF(A161="","",COUNTIF('業務'!$M$4:$M$200,A161))</f>
        <v/>
      </c>
      <c r="O161" s="41">
        <f>IF(A161="","",IF(N161=0,"対象外",IF(COUNTIFS('業務'!$M$4:$M$200,A161,'業務'!$P$4:$P$200,"移管")=N161,"移管",IF(COUNTIFS('業務'!$M$4:$M$200,A161,'業務'!$P$4:$P$200,"移管")&gt;0,"一部",IF(COUNTIFS('業務'!$M$4:$M$200,A161,'業務'!$P$4:$P$200,"対象外")+COUNTIFS('業務'!$M$4:$M$200,A161,'業務'!$P$4:$P$200,"留保")=N161,IF(COUNTIFS('業務'!$M$4:$M$200,A161,'業務'!$P$4:$P$200,"留保")&gt;0,"留保","対象外"),"判定保留")))))</f>
        <v/>
      </c>
    </row>
    <row r="162">
      <c r="A162" s="17" t="n"/>
      <c r="B162" s="17" t="n"/>
      <c r="C162" s="17" t="n"/>
      <c r="D162" s="41">
        <f>IF(C162="","",IFERROR(INDEX('予算シート'!$B:$B,MATCH(C162,'予算シート'!$A:$A,0)),"案件が未登録"))</f>
        <v/>
      </c>
      <c r="E162" s="17" t="n"/>
      <c r="F162" s="17" t="n"/>
      <c r="G162" s="17" t="n"/>
      <c r="H162" s="29" t="n"/>
      <c r="I162" s="29" t="n"/>
      <c r="J162" s="17" t="n"/>
      <c r="K162" s="20" t="n"/>
      <c r="L162" s="41">
        <f>IF(OR(I162="",K162=""),"",EDATE(I162,-K162))</f>
        <v/>
      </c>
      <c r="M162" s="18" t="n"/>
      <c r="N162" s="45">
        <f>IF(A162="","",COUNTIF('業務'!$M$4:$M$200,A162))</f>
        <v/>
      </c>
      <c r="O162" s="41">
        <f>IF(A162="","",IF(N162=0,"対象外",IF(COUNTIFS('業務'!$M$4:$M$200,A162,'業務'!$P$4:$P$200,"移管")=N162,"移管",IF(COUNTIFS('業務'!$M$4:$M$200,A162,'業務'!$P$4:$P$200,"移管")&gt;0,"一部",IF(COUNTIFS('業務'!$M$4:$M$200,A162,'業務'!$P$4:$P$200,"対象外")+COUNTIFS('業務'!$M$4:$M$200,A162,'業務'!$P$4:$P$200,"留保")=N162,IF(COUNTIFS('業務'!$M$4:$M$200,A162,'業務'!$P$4:$P$200,"留保")&gt;0,"留保","対象外"),"判定保留")))))</f>
        <v/>
      </c>
    </row>
    <row r="163">
      <c r="A163" s="17" t="n"/>
      <c r="B163" s="17" t="n"/>
      <c r="C163" s="17" t="n"/>
      <c r="D163" s="41">
        <f>IF(C163="","",IFERROR(INDEX('予算シート'!$B:$B,MATCH(C163,'予算シート'!$A:$A,0)),"案件が未登録"))</f>
        <v/>
      </c>
      <c r="E163" s="17" t="n"/>
      <c r="F163" s="17" t="n"/>
      <c r="G163" s="17" t="n"/>
      <c r="H163" s="29" t="n"/>
      <c r="I163" s="29" t="n"/>
      <c r="J163" s="17" t="n"/>
      <c r="K163" s="20" t="n"/>
      <c r="L163" s="41">
        <f>IF(OR(I163="",K163=""),"",EDATE(I163,-K163))</f>
        <v/>
      </c>
      <c r="M163" s="18" t="n"/>
      <c r="N163" s="45">
        <f>IF(A163="","",COUNTIF('業務'!$M$4:$M$200,A163))</f>
        <v/>
      </c>
      <c r="O163" s="41">
        <f>IF(A163="","",IF(N163=0,"対象外",IF(COUNTIFS('業務'!$M$4:$M$200,A163,'業務'!$P$4:$P$200,"移管")=N163,"移管",IF(COUNTIFS('業務'!$M$4:$M$200,A163,'業務'!$P$4:$P$200,"移管")&gt;0,"一部",IF(COUNTIFS('業務'!$M$4:$M$200,A163,'業務'!$P$4:$P$200,"対象外")+COUNTIFS('業務'!$M$4:$M$200,A163,'業務'!$P$4:$P$200,"留保")=N163,IF(COUNTIFS('業務'!$M$4:$M$200,A163,'業務'!$P$4:$P$200,"留保")&gt;0,"留保","対象外"),"判定保留")))))</f>
        <v/>
      </c>
    </row>
    <row r="164">
      <c r="A164" s="17" t="n"/>
      <c r="B164" s="17" t="n"/>
      <c r="C164" s="17" t="n"/>
      <c r="D164" s="41">
        <f>IF(C164="","",IFERROR(INDEX('予算シート'!$B:$B,MATCH(C164,'予算シート'!$A:$A,0)),"案件が未登録"))</f>
        <v/>
      </c>
      <c r="E164" s="17" t="n"/>
      <c r="F164" s="17" t="n"/>
      <c r="G164" s="17" t="n"/>
      <c r="H164" s="29" t="n"/>
      <c r="I164" s="29" t="n"/>
      <c r="J164" s="17" t="n"/>
      <c r="K164" s="20" t="n"/>
      <c r="L164" s="41">
        <f>IF(OR(I164="",K164=""),"",EDATE(I164,-K164))</f>
        <v/>
      </c>
      <c r="M164" s="18" t="n"/>
      <c r="N164" s="45">
        <f>IF(A164="","",COUNTIF('業務'!$M$4:$M$200,A164))</f>
        <v/>
      </c>
      <c r="O164" s="41">
        <f>IF(A164="","",IF(N164=0,"対象外",IF(COUNTIFS('業務'!$M$4:$M$200,A164,'業務'!$P$4:$P$200,"移管")=N164,"移管",IF(COUNTIFS('業務'!$M$4:$M$200,A164,'業務'!$P$4:$P$200,"移管")&gt;0,"一部",IF(COUNTIFS('業務'!$M$4:$M$200,A164,'業務'!$P$4:$P$200,"対象外")+COUNTIFS('業務'!$M$4:$M$200,A164,'業務'!$P$4:$P$200,"留保")=N164,IF(COUNTIFS('業務'!$M$4:$M$200,A164,'業務'!$P$4:$P$200,"留保")&gt;0,"留保","対象外"),"判定保留")))))</f>
        <v/>
      </c>
    </row>
    <row r="165">
      <c r="A165" s="17" t="n"/>
      <c r="B165" s="17" t="n"/>
      <c r="C165" s="17" t="n"/>
      <c r="D165" s="41">
        <f>IF(C165="","",IFERROR(INDEX('予算シート'!$B:$B,MATCH(C165,'予算シート'!$A:$A,0)),"案件が未登録"))</f>
        <v/>
      </c>
      <c r="E165" s="17" t="n"/>
      <c r="F165" s="17" t="n"/>
      <c r="G165" s="17" t="n"/>
      <c r="H165" s="29" t="n"/>
      <c r="I165" s="29" t="n"/>
      <c r="J165" s="17" t="n"/>
      <c r="K165" s="20" t="n"/>
      <c r="L165" s="41">
        <f>IF(OR(I165="",K165=""),"",EDATE(I165,-K165))</f>
        <v/>
      </c>
      <c r="M165" s="18" t="n"/>
      <c r="N165" s="45">
        <f>IF(A165="","",COUNTIF('業務'!$M$4:$M$200,A165))</f>
        <v/>
      </c>
      <c r="O165" s="41">
        <f>IF(A165="","",IF(N165=0,"対象外",IF(COUNTIFS('業務'!$M$4:$M$200,A165,'業務'!$P$4:$P$200,"移管")=N165,"移管",IF(COUNTIFS('業務'!$M$4:$M$200,A165,'業務'!$P$4:$P$200,"移管")&gt;0,"一部",IF(COUNTIFS('業務'!$M$4:$M$200,A165,'業務'!$P$4:$P$200,"対象外")+COUNTIFS('業務'!$M$4:$M$200,A165,'業務'!$P$4:$P$200,"留保")=N165,IF(COUNTIFS('業務'!$M$4:$M$200,A165,'業務'!$P$4:$P$200,"留保")&gt;0,"留保","対象外"),"判定保留")))))</f>
        <v/>
      </c>
    </row>
    <row r="166">
      <c r="A166" s="17" t="n"/>
      <c r="B166" s="17" t="n"/>
      <c r="C166" s="17" t="n"/>
      <c r="D166" s="41">
        <f>IF(C166="","",IFERROR(INDEX('予算シート'!$B:$B,MATCH(C166,'予算シート'!$A:$A,0)),"案件が未登録"))</f>
        <v/>
      </c>
      <c r="E166" s="17" t="n"/>
      <c r="F166" s="17" t="n"/>
      <c r="G166" s="17" t="n"/>
      <c r="H166" s="29" t="n"/>
      <c r="I166" s="29" t="n"/>
      <c r="J166" s="17" t="n"/>
      <c r="K166" s="20" t="n"/>
      <c r="L166" s="41">
        <f>IF(OR(I166="",K166=""),"",EDATE(I166,-K166))</f>
        <v/>
      </c>
      <c r="M166" s="18" t="n"/>
      <c r="N166" s="45">
        <f>IF(A166="","",COUNTIF('業務'!$M$4:$M$200,A166))</f>
        <v/>
      </c>
      <c r="O166" s="41">
        <f>IF(A166="","",IF(N166=0,"対象外",IF(COUNTIFS('業務'!$M$4:$M$200,A166,'業務'!$P$4:$P$200,"移管")=N166,"移管",IF(COUNTIFS('業務'!$M$4:$M$200,A166,'業務'!$P$4:$P$200,"移管")&gt;0,"一部",IF(COUNTIFS('業務'!$M$4:$M$200,A166,'業務'!$P$4:$P$200,"対象外")+COUNTIFS('業務'!$M$4:$M$200,A166,'業務'!$P$4:$P$200,"留保")=N166,IF(COUNTIFS('業務'!$M$4:$M$200,A166,'業務'!$P$4:$P$200,"留保")&gt;0,"留保","対象外"),"判定保留")))))</f>
        <v/>
      </c>
    </row>
    <row r="167">
      <c r="A167" s="17" t="n"/>
      <c r="B167" s="17" t="n"/>
      <c r="C167" s="17" t="n"/>
      <c r="D167" s="41">
        <f>IF(C167="","",IFERROR(INDEX('予算シート'!$B:$B,MATCH(C167,'予算シート'!$A:$A,0)),"案件が未登録"))</f>
        <v/>
      </c>
      <c r="E167" s="17" t="n"/>
      <c r="F167" s="17" t="n"/>
      <c r="G167" s="17" t="n"/>
      <c r="H167" s="29" t="n"/>
      <c r="I167" s="29" t="n"/>
      <c r="J167" s="17" t="n"/>
      <c r="K167" s="20" t="n"/>
      <c r="L167" s="41">
        <f>IF(OR(I167="",K167=""),"",EDATE(I167,-K167))</f>
        <v/>
      </c>
      <c r="M167" s="18" t="n"/>
      <c r="N167" s="45">
        <f>IF(A167="","",COUNTIF('業務'!$M$4:$M$200,A167))</f>
        <v/>
      </c>
      <c r="O167" s="41">
        <f>IF(A167="","",IF(N167=0,"対象外",IF(COUNTIFS('業務'!$M$4:$M$200,A167,'業務'!$P$4:$P$200,"移管")=N167,"移管",IF(COUNTIFS('業務'!$M$4:$M$200,A167,'業務'!$P$4:$P$200,"移管")&gt;0,"一部",IF(COUNTIFS('業務'!$M$4:$M$200,A167,'業務'!$P$4:$P$200,"対象外")+COUNTIFS('業務'!$M$4:$M$200,A167,'業務'!$P$4:$P$200,"留保")=N167,IF(COUNTIFS('業務'!$M$4:$M$200,A167,'業務'!$P$4:$P$200,"留保")&gt;0,"留保","対象外"),"判定保留")))))</f>
        <v/>
      </c>
    </row>
    <row r="168">
      <c r="A168" s="17" t="n"/>
      <c r="B168" s="17" t="n"/>
      <c r="C168" s="17" t="n"/>
      <c r="D168" s="41">
        <f>IF(C168="","",IFERROR(INDEX('予算シート'!$B:$B,MATCH(C168,'予算シート'!$A:$A,0)),"案件が未登録"))</f>
        <v/>
      </c>
      <c r="E168" s="17" t="n"/>
      <c r="F168" s="17" t="n"/>
      <c r="G168" s="17" t="n"/>
      <c r="H168" s="29" t="n"/>
      <c r="I168" s="29" t="n"/>
      <c r="J168" s="17" t="n"/>
      <c r="K168" s="20" t="n"/>
      <c r="L168" s="41">
        <f>IF(OR(I168="",K168=""),"",EDATE(I168,-K168))</f>
        <v/>
      </c>
      <c r="M168" s="18" t="n"/>
      <c r="N168" s="45">
        <f>IF(A168="","",COUNTIF('業務'!$M$4:$M$200,A168))</f>
        <v/>
      </c>
      <c r="O168" s="41">
        <f>IF(A168="","",IF(N168=0,"対象外",IF(COUNTIFS('業務'!$M$4:$M$200,A168,'業務'!$P$4:$P$200,"移管")=N168,"移管",IF(COUNTIFS('業務'!$M$4:$M$200,A168,'業務'!$P$4:$P$200,"移管")&gt;0,"一部",IF(COUNTIFS('業務'!$M$4:$M$200,A168,'業務'!$P$4:$P$200,"対象外")+COUNTIFS('業務'!$M$4:$M$200,A168,'業務'!$P$4:$P$200,"留保")=N168,IF(COUNTIFS('業務'!$M$4:$M$200,A168,'業務'!$P$4:$P$200,"留保")&gt;0,"留保","対象外"),"判定保留")))))</f>
        <v/>
      </c>
    </row>
    <row r="169">
      <c r="A169" s="17" t="n"/>
      <c r="B169" s="17" t="n"/>
      <c r="C169" s="17" t="n"/>
      <c r="D169" s="41">
        <f>IF(C169="","",IFERROR(INDEX('予算シート'!$B:$B,MATCH(C169,'予算シート'!$A:$A,0)),"案件が未登録"))</f>
        <v/>
      </c>
      <c r="E169" s="17" t="n"/>
      <c r="F169" s="17" t="n"/>
      <c r="G169" s="17" t="n"/>
      <c r="H169" s="29" t="n"/>
      <c r="I169" s="29" t="n"/>
      <c r="J169" s="17" t="n"/>
      <c r="K169" s="20" t="n"/>
      <c r="L169" s="41">
        <f>IF(OR(I169="",K169=""),"",EDATE(I169,-K169))</f>
        <v/>
      </c>
      <c r="M169" s="18" t="n"/>
      <c r="N169" s="45">
        <f>IF(A169="","",COUNTIF('業務'!$M$4:$M$200,A169))</f>
        <v/>
      </c>
      <c r="O169" s="41">
        <f>IF(A169="","",IF(N169=0,"対象外",IF(COUNTIFS('業務'!$M$4:$M$200,A169,'業務'!$P$4:$P$200,"移管")=N169,"移管",IF(COUNTIFS('業務'!$M$4:$M$200,A169,'業務'!$P$4:$P$200,"移管")&gt;0,"一部",IF(COUNTIFS('業務'!$M$4:$M$200,A169,'業務'!$P$4:$P$200,"対象外")+COUNTIFS('業務'!$M$4:$M$200,A169,'業務'!$P$4:$P$200,"留保")=N169,IF(COUNTIFS('業務'!$M$4:$M$200,A169,'業務'!$P$4:$P$200,"留保")&gt;0,"留保","対象外"),"判定保留")))))</f>
        <v/>
      </c>
    </row>
    <row r="170">
      <c r="A170" s="17" t="n"/>
      <c r="B170" s="17" t="n"/>
      <c r="C170" s="17" t="n"/>
      <c r="D170" s="41">
        <f>IF(C170="","",IFERROR(INDEX('予算シート'!$B:$B,MATCH(C170,'予算シート'!$A:$A,0)),"案件が未登録"))</f>
        <v/>
      </c>
      <c r="E170" s="17" t="n"/>
      <c r="F170" s="17" t="n"/>
      <c r="G170" s="17" t="n"/>
      <c r="H170" s="29" t="n"/>
      <c r="I170" s="29" t="n"/>
      <c r="J170" s="17" t="n"/>
      <c r="K170" s="20" t="n"/>
      <c r="L170" s="41">
        <f>IF(OR(I170="",K170=""),"",EDATE(I170,-K170))</f>
        <v/>
      </c>
      <c r="M170" s="18" t="n"/>
      <c r="N170" s="45">
        <f>IF(A170="","",COUNTIF('業務'!$M$4:$M$200,A170))</f>
        <v/>
      </c>
      <c r="O170" s="41">
        <f>IF(A170="","",IF(N170=0,"対象外",IF(COUNTIFS('業務'!$M$4:$M$200,A170,'業務'!$P$4:$P$200,"移管")=N170,"移管",IF(COUNTIFS('業務'!$M$4:$M$200,A170,'業務'!$P$4:$P$200,"移管")&gt;0,"一部",IF(COUNTIFS('業務'!$M$4:$M$200,A170,'業務'!$P$4:$P$200,"対象外")+COUNTIFS('業務'!$M$4:$M$200,A170,'業務'!$P$4:$P$200,"留保")=N170,IF(COUNTIFS('業務'!$M$4:$M$200,A170,'業務'!$P$4:$P$200,"留保")&gt;0,"留保","対象外"),"判定保留")))))</f>
        <v/>
      </c>
    </row>
    <row r="171">
      <c r="A171" s="17" t="n"/>
      <c r="B171" s="17" t="n"/>
      <c r="C171" s="17" t="n"/>
      <c r="D171" s="41">
        <f>IF(C171="","",IFERROR(INDEX('予算シート'!$B:$B,MATCH(C171,'予算シート'!$A:$A,0)),"案件が未登録"))</f>
        <v/>
      </c>
      <c r="E171" s="17" t="n"/>
      <c r="F171" s="17" t="n"/>
      <c r="G171" s="17" t="n"/>
      <c r="H171" s="29" t="n"/>
      <c r="I171" s="29" t="n"/>
      <c r="J171" s="17" t="n"/>
      <c r="K171" s="20" t="n"/>
      <c r="L171" s="41">
        <f>IF(OR(I171="",K171=""),"",EDATE(I171,-K171))</f>
        <v/>
      </c>
      <c r="M171" s="18" t="n"/>
      <c r="N171" s="45">
        <f>IF(A171="","",COUNTIF('業務'!$M$4:$M$200,A171))</f>
        <v/>
      </c>
      <c r="O171" s="41">
        <f>IF(A171="","",IF(N171=0,"対象外",IF(COUNTIFS('業務'!$M$4:$M$200,A171,'業務'!$P$4:$P$200,"移管")=N171,"移管",IF(COUNTIFS('業務'!$M$4:$M$200,A171,'業務'!$P$4:$P$200,"移管")&gt;0,"一部",IF(COUNTIFS('業務'!$M$4:$M$200,A171,'業務'!$P$4:$P$200,"対象外")+COUNTIFS('業務'!$M$4:$M$200,A171,'業務'!$P$4:$P$200,"留保")=N171,IF(COUNTIFS('業務'!$M$4:$M$200,A171,'業務'!$P$4:$P$200,"留保")&gt;0,"留保","対象外"),"判定保留")))))</f>
        <v/>
      </c>
    </row>
    <row r="172">
      <c r="A172" s="17" t="n"/>
      <c r="B172" s="17" t="n"/>
      <c r="C172" s="17" t="n"/>
      <c r="D172" s="41">
        <f>IF(C172="","",IFERROR(INDEX('予算シート'!$B:$B,MATCH(C172,'予算シート'!$A:$A,0)),"案件が未登録"))</f>
        <v/>
      </c>
      <c r="E172" s="17" t="n"/>
      <c r="F172" s="17" t="n"/>
      <c r="G172" s="17" t="n"/>
      <c r="H172" s="29" t="n"/>
      <c r="I172" s="29" t="n"/>
      <c r="J172" s="17" t="n"/>
      <c r="K172" s="20" t="n"/>
      <c r="L172" s="41">
        <f>IF(OR(I172="",K172=""),"",EDATE(I172,-K172))</f>
        <v/>
      </c>
      <c r="M172" s="18" t="n"/>
      <c r="N172" s="45">
        <f>IF(A172="","",COUNTIF('業務'!$M$4:$M$200,A172))</f>
        <v/>
      </c>
      <c r="O172" s="41">
        <f>IF(A172="","",IF(N172=0,"対象外",IF(COUNTIFS('業務'!$M$4:$M$200,A172,'業務'!$P$4:$P$200,"移管")=N172,"移管",IF(COUNTIFS('業務'!$M$4:$M$200,A172,'業務'!$P$4:$P$200,"移管")&gt;0,"一部",IF(COUNTIFS('業務'!$M$4:$M$200,A172,'業務'!$P$4:$P$200,"対象外")+COUNTIFS('業務'!$M$4:$M$200,A172,'業務'!$P$4:$P$200,"留保")=N172,IF(COUNTIFS('業務'!$M$4:$M$200,A172,'業務'!$P$4:$P$200,"留保")&gt;0,"留保","対象外"),"判定保留")))))</f>
        <v/>
      </c>
    </row>
    <row r="173">
      <c r="A173" s="17" t="n"/>
      <c r="B173" s="17" t="n"/>
      <c r="C173" s="17" t="n"/>
      <c r="D173" s="41">
        <f>IF(C173="","",IFERROR(INDEX('予算シート'!$B:$B,MATCH(C173,'予算シート'!$A:$A,0)),"案件が未登録"))</f>
        <v/>
      </c>
      <c r="E173" s="17" t="n"/>
      <c r="F173" s="17" t="n"/>
      <c r="G173" s="17" t="n"/>
      <c r="H173" s="29" t="n"/>
      <c r="I173" s="29" t="n"/>
      <c r="J173" s="17" t="n"/>
      <c r="K173" s="20" t="n"/>
      <c r="L173" s="41">
        <f>IF(OR(I173="",K173=""),"",EDATE(I173,-K173))</f>
        <v/>
      </c>
      <c r="M173" s="18" t="n"/>
      <c r="N173" s="45">
        <f>IF(A173="","",COUNTIF('業務'!$M$4:$M$200,A173))</f>
        <v/>
      </c>
      <c r="O173" s="41">
        <f>IF(A173="","",IF(N173=0,"対象外",IF(COUNTIFS('業務'!$M$4:$M$200,A173,'業務'!$P$4:$P$200,"移管")=N173,"移管",IF(COUNTIFS('業務'!$M$4:$M$200,A173,'業務'!$P$4:$P$200,"移管")&gt;0,"一部",IF(COUNTIFS('業務'!$M$4:$M$200,A173,'業務'!$P$4:$P$200,"対象外")+COUNTIFS('業務'!$M$4:$M$200,A173,'業務'!$P$4:$P$200,"留保")=N173,IF(COUNTIFS('業務'!$M$4:$M$200,A173,'業務'!$P$4:$P$200,"留保")&gt;0,"留保","対象外"),"判定保留")))))</f>
        <v/>
      </c>
    </row>
    <row r="174">
      <c r="A174" s="17" t="n"/>
      <c r="B174" s="17" t="n"/>
      <c r="C174" s="17" t="n"/>
      <c r="D174" s="41">
        <f>IF(C174="","",IFERROR(INDEX('予算シート'!$B:$B,MATCH(C174,'予算シート'!$A:$A,0)),"案件が未登録"))</f>
        <v/>
      </c>
      <c r="E174" s="17" t="n"/>
      <c r="F174" s="17" t="n"/>
      <c r="G174" s="17" t="n"/>
      <c r="H174" s="29" t="n"/>
      <c r="I174" s="29" t="n"/>
      <c r="J174" s="17" t="n"/>
      <c r="K174" s="20" t="n"/>
      <c r="L174" s="41">
        <f>IF(OR(I174="",K174=""),"",EDATE(I174,-K174))</f>
        <v/>
      </c>
      <c r="M174" s="18" t="n"/>
      <c r="N174" s="45">
        <f>IF(A174="","",COUNTIF('業務'!$M$4:$M$200,A174))</f>
        <v/>
      </c>
      <c r="O174" s="41">
        <f>IF(A174="","",IF(N174=0,"対象外",IF(COUNTIFS('業務'!$M$4:$M$200,A174,'業務'!$P$4:$P$200,"移管")=N174,"移管",IF(COUNTIFS('業務'!$M$4:$M$200,A174,'業務'!$P$4:$P$200,"移管")&gt;0,"一部",IF(COUNTIFS('業務'!$M$4:$M$200,A174,'業務'!$P$4:$P$200,"対象外")+COUNTIFS('業務'!$M$4:$M$200,A174,'業務'!$P$4:$P$200,"留保")=N174,IF(COUNTIFS('業務'!$M$4:$M$200,A174,'業務'!$P$4:$P$200,"留保")&gt;0,"留保","対象外"),"判定保留")))))</f>
        <v/>
      </c>
    </row>
    <row r="175">
      <c r="A175" s="17" t="n"/>
      <c r="B175" s="17" t="n"/>
      <c r="C175" s="17" t="n"/>
      <c r="D175" s="41">
        <f>IF(C175="","",IFERROR(INDEX('予算シート'!$B:$B,MATCH(C175,'予算シート'!$A:$A,0)),"案件が未登録"))</f>
        <v/>
      </c>
      <c r="E175" s="17" t="n"/>
      <c r="F175" s="17" t="n"/>
      <c r="G175" s="17" t="n"/>
      <c r="H175" s="29" t="n"/>
      <c r="I175" s="29" t="n"/>
      <c r="J175" s="17" t="n"/>
      <c r="K175" s="20" t="n"/>
      <c r="L175" s="41">
        <f>IF(OR(I175="",K175=""),"",EDATE(I175,-K175))</f>
        <v/>
      </c>
      <c r="M175" s="18" t="n"/>
      <c r="N175" s="45">
        <f>IF(A175="","",COUNTIF('業務'!$M$4:$M$200,A175))</f>
        <v/>
      </c>
      <c r="O175" s="41">
        <f>IF(A175="","",IF(N175=0,"対象外",IF(COUNTIFS('業務'!$M$4:$M$200,A175,'業務'!$P$4:$P$200,"移管")=N175,"移管",IF(COUNTIFS('業務'!$M$4:$M$200,A175,'業務'!$P$4:$P$200,"移管")&gt;0,"一部",IF(COUNTIFS('業務'!$M$4:$M$200,A175,'業務'!$P$4:$P$200,"対象外")+COUNTIFS('業務'!$M$4:$M$200,A175,'業務'!$P$4:$P$200,"留保")=N175,IF(COUNTIFS('業務'!$M$4:$M$200,A175,'業務'!$P$4:$P$200,"留保")&gt;0,"留保","対象外"),"判定保留")))))</f>
        <v/>
      </c>
    </row>
    <row r="176">
      <c r="A176" s="17" t="n"/>
      <c r="B176" s="17" t="n"/>
      <c r="C176" s="17" t="n"/>
      <c r="D176" s="41">
        <f>IF(C176="","",IFERROR(INDEX('予算シート'!$B:$B,MATCH(C176,'予算シート'!$A:$A,0)),"案件が未登録"))</f>
        <v/>
      </c>
      <c r="E176" s="17" t="n"/>
      <c r="F176" s="17" t="n"/>
      <c r="G176" s="17" t="n"/>
      <c r="H176" s="29" t="n"/>
      <c r="I176" s="29" t="n"/>
      <c r="J176" s="17" t="n"/>
      <c r="K176" s="20" t="n"/>
      <c r="L176" s="41">
        <f>IF(OR(I176="",K176=""),"",EDATE(I176,-K176))</f>
        <v/>
      </c>
      <c r="M176" s="18" t="n"/>
      <c r="N176" s="45">
        <f>IF(A176="","",COUNTIF('業務'!$M$4:$M$200,A176))</f>
        <v/>
      </c>
      <c r="O176" s="41">
        <f>IF(A176="","",IF(N176=0,"対象外",IF(COUNTIFS('業務'!$M$4:$M$200,A176,'業務'!$P$4:$P$200,"移管")=N176,"移管",IF(COUNTIFS('業務'!$M$4:$M$200,A176,'業務'!$P$4:$P$200,"移管")&gt;0,"一部",IF(COUNTIFS('業務'!$M$4:$M$200,A176,'業務'!$P$4:$P$200,"対象外")+COUNTIFS('業務'!$M$4:$M$200,A176,'業務'!$P$4:$P$200,"留保")=N176,IF(COUNTIFS('業務'!$M$4:$M$200,A176,'業務'!$P$4:$P$200,"留保")&gt;0,"留保","対象外"),"判定保留")))))</f>
        <v/>
      </c>
    </row>
    <row r="177">
      <c r="A177" s="17" t="n"/>
      <c r="B177" s="17" t="n"/>
      <c r="C177" s="17" t="n"/>
      <c r="D177" s="41">
        <f>IF(C177="","",IFERROR(INDEX('予算シート'!$B:$B,MATCH(C177,'予算シート'!$A:$A,0)),"案件が未登録"))</f>
        <v/>
      </c>
      <c r="E177" s="17" t="n"/>
      <c r="F177" s="17" t="n"/>
      <c r="G177" s="17" t="n"/>
      <c r="H177" s="29" t="n"/>
      <c r="I177" s="29" t="n"/>
      <c r="J177" s="17" t="n"/>
      <c r="K177" s="20" t="n"/>
      <c r="L177" s="41">
        <f>IF(OR(I177="",K177=""),"",EDATE(I177,-K177))</f>
        <v/>
      </c>
      <c r="M177" s="18" t="n"/>
      <c r="N177" s="45">
        <f>IF(A177="","",COUNTIF('業務'!$M$4:$M$200,A177))</f>
        <v/>
      </c>
      <c r="O177" s="41">
        <f>IF(A177="","",IF(N177=0,"対象外",IF(COUNTIFS('業務'!$M$4:$M$200,A177,'業務'!$P$4:$P$200,"移管")=N177,"移管",IF(COUNTIFS('業務'!$M$4:$M$200,A177,'業務'!$P$4:$P$200,"移管")&gt;0,"一部",IF(COUNTIFS('業務'!$M$4:$M$200,A177,'業務'!$P$4:$P$200,"対象外")+COUNTIFS('業務'!$M$4:$M$200,A177,'業務'!$P$4:$P$200,"留保")=N177,IF(COUNTIFS('業務'!$M$4:$M$200,A177,'業務'!$P$4:$P$200,"留保")&gt;0,"留保","対象外"),"判定保留")))))</f>
        <v/>
      </c>
    </row>
    <row r="178">
      <c r="A178" s="17" t="n"/>
      <c r="B178" s="17" t="n"/>
      <c r="C178" s="17" t="n"/>
      <c r="D178" s="41">
        <f>IF(C178="","",IFERROR(INDEX('予算シート'!$B:$B,MATCH(C178,'予算シート'!$A:$A,0)),"案件が未登録"))</f>
        <v/>
      </c>
      <c r="E178" s="17" t="n"/>
      <c r="F178" s="17" t="n"/>
      <c r="G178" s="17" t="n"/>
      <c r="H178" s="29" t="n"/>
      <c r="I178" s="29" t="n"/>
      <c r="J178" s="17" t="n"/>
      <c r="K178" s="20" t="n"/>
      <c r="L178" s="41">
        <f>IF(OR(I178="",K178=""),"",EDATE(I178,-K178))</f>
        <v/>
      </c>
      <c r="M178" s="18" t="n"/>
      <c r="N178" s="45">
        <f>IF(A178="","",COUNTIF('業務'!$M$4:$M$200,A178))</f>
        <v/>
      </c>
      <c r="O178" s="41">
        <f>IF(A178="","",IF(N178=0,"対象外",IF(COUNTIFS('業務'!$M$4:$M$200,A178,'業務'!$P$4:$P$200,"移管")=N178,"移管",IF(COUNTIFS('業務'!$M$4:$M$200,A178,'業務'!$P$4:$P$200,"移管")&gt;0,"一部",IF(COUNTIFS('業務'!$M$4:$M$200,A178,'業務'!$P$4:$P$200,"対象外")+COUNTIFS('業務'!$M$4:$M$200,A178,'業務'!$P$4:$P$200,"留保")=N178,IF(COUNTIFS('業務'!$M$4:$M$200,A178,'業務'!$P$4:$P$200,"留保")&gt;0,"留保","対象外"),"判定保留")))))</f>
        <v/>
      </c>
    </row>
    <row r="179">
      <c r="A179" s="17" t="n"/>
      <c r="B179" s="17" t="n"/>
      <c r="C179" s="17" t="n"/>
      <c r="D179" s="41">
        <f>IF(C179="","",IFERROR(INDEX('予算シート'!$B:$B,MATCH(C179,'予算シート'!$A:$A,0)),"案件が未登録"))</f>
        <v/>
      </c>
      <c r="E179" s="17" t="n"/>
      <c r="F179" s="17" t="n"/>
      <c r="G179" s="17" t="n"/>
      <c r="H179" s="29" t="n"/>
      <c r="I179" s="29" t="n"/>
      <c r="J179" s="17" t="n"/>
      <c r="K179" s="20" t="n"/>
      <c r="L179" s="41">
        <f>IF(OR(I179="",K179=""),"",EDATE(I179,-K179))</f>
        <v/>
      </c>
      <c r="M179" s="18" t="n"/>
      <c r="N179" s="45">
        <f>IF(A179="","",COUNTIF('業務'!$M$4:$M$200,A179))</f>
        <v/>
      </c>
      <c r="O179" s="41">
        <f>IF(A179="","",IF(N179=0,"対象外",IF(COUNTIFS('業務'!$M$4:$M$200,A179,'業務'!$P$4:$P$200,"移管")=N179,"移管",IF(COUNTIFS('業務'!$M$4:$M$200,A179,'業務'!$P$4:$P$200,"移管")&gt;0,"一部",IF(COUNTIFS('業務'!$M$4:$M$200,A179,'業務'!$P$4:$P$200,"対象外")+COUNTIFS('業務'!$M$4:$M$200,A179,'業務'!$P$4:$P$200,"留保")=N179,IF(COUNTIFS('業務'!$M$4:$M$200,A179,'業務'!$P$4:$P$200,"留保")&gt;0,"留保","対象外"),"判定保留")))))</f>
        <v/>
      </c>
    </row>
    <row r="180">
      <c r="A180" s="17" t="n"/>
      <c r="B180" s="17" t="n"/>
      <c r="C180" s="17" t="n"/>
      <c r="D180" s="41">
        <f>IF(C180="","",IFERROR(INDEX('予算シート'!$B:$B,MATCH(C180,'予算シート'!$A:$A,0)),"案件が未登録"))</f>
        <v/>
      </c>
      <c r="E180" s="17" t="n"/>
      <c r="F180" s="17" t="n"/>
      <c r="G180" s="17" t="n"/>
      <c r="H180" s="29" t="n"/>
      <c r="I180" s="29" t="n"/>
      <c r="J180" s="17" t="n"/>
      <c r="K180" s="20" t="n"/>
      <c r="L180" s="41">
        <f>IF(OR(I180="",K180=""),"",EDATE(I180,-K180))</f>
        <v/>
      </c>
      <c r="M180" s="18" t="n"/>
      <c r="N180" s="45">
        <f>IF(A180="","",COUNTIF('業務'!$M$4:$M$200,A180))</f>
        <v/>
      </c>
      <c r="O180" s="41">
        <f>IF(A180="","",IF(N180=0,"対象外",IF(COUNTIFS('業務'!$M$4:$M$200,A180,'業務'!$P$4:$P$200,"移管")=N180,"移管",IF(COUNTIFS('業務'!$M$4:$M$200,A180,'業務'!$P$4:$P$200,"移管")&gt;0,"一部",IF(COUNTIFS('業務'!$M$4:$M$200,A180,'業務'!$P$4:$P$200,"対象外")+COUNTIFS('業務'!$M$4:$M$200,A180,'業務'!$P$4:$P$200,"留保")=N180,IF(COUNTIFS('業務'!$M$4:$M$200,A180,'業務'!$P$4:$P$200,"留保")&gt;0,"留保","対象外"),"判定保留")))))</f>
        <v/>
      </c>
    </row>
    <row r="181">
      <c r="A181" s="17" t="n"/>
      <c r="B181" s="17" t="n"/>
      <c r="C181" s="17" t="n"/>
      <c r="D181" s="41">
        <f>IF(C181="","",IFERROR(INDEX('予算シート'!$B:$B,MATCH(C181,'予算シート'!$A:$A,0)),"案件が未登録"))</f>
        <v/>
      </c>
      <c r="E181" s="17" t="n"/>
      <c r="F181" s="17" t="n"/>
      <c r="G181" s="17" t="n"/>
      <c r="H181" s="29" t="n"/>
      <c r="I181" s="29" t="n"/>
      <c r="J181" s="17" t="n"/>
      <c r="K181" s="20" t="n"/>
      <c r="L181" s="41">
        <f>IF(OR(I181="",K181=""),"",EDATE(I181,-K181))</f>
        <v/>
      </c>
      <c r="M181" s="18" t="n"/>
      <c r="N181" s="45">
        <f>IF(A181="","",COUNTIF('業務'!$M$4:$M$200,A181))</f>
        <v/>
      </c>
      <c r="O181" s="41">
        <f>IF(A181="","",IF(N181=0,"対象外",IF(COUNTIFS('業務'!$M$4:$M$200,A181,'業務'!$P$4:$P$200,"移管")=N181,"移管",IF(COUNTIFS('業務'!$M$4:$M$200,A181,'業務'!$P$4:$P$200,"移管")&gt;0,"一部",IF(COUNTIFS('業務'!$M$4:$M$200,A181,'業務'!$P$4:$P$200,"対象外")+COUNTIFS('業務'!$M$4:$M$200,A181,'業務'!$P$4:$P$200,"留保")=N181,IF(COUNTIFS('業務'!$M$4:$M$200,A181,'業務'!$P$4:$P$200,"留保")&gt;0,"留保","対象外"),"判定保留")))))</f>
        <v/>
      </c>
    </row>
    <row r="182">
      <c r="A182" s="17" t="n"/>
      <c r="B182" s="17" t="n"/>
      <c r="C182" s="17" t="n"/>
      <c r="D182" s="41">
        <f>IF(C182="","",IFERROR(INDEX('予算シート'!$B:$B,MATCH(C182,'予算シート'!$A:$A,0)),"案件が未登録"))</f>
        <v/>
      </c>
      <c r="E182" s="17" t="n"/>
      <c r="F182" s="17" t="n"/>
      <c r="G182" s="17" t="n"/>
      <c r="H182" s="29" t="n"/>
      <c r="I182" s="29" t="n"/>
      <c r="J182" s="17" t="n"/>
      <c r="K182" s="20" t="n"/>
      <c r="L182" s="41">
        <f>IF(OR(I182="",K182=""),"",EDATE(I182,-K182))</f>
        <v/>
      </c>
      <c r="M182" s="18" t="n"/>
      <c r="N182" s="45">
        <f>IF(A182="","",COUNTIF('業務'!$M$4:$M$200,A182))</f>
        <v/>
      </c>
      <c r="O182" s="41">
        <f>IF(A182="","",IF(N182=0,"対象外",IF(COUNTIFS('業務'!$M$4:$M$200,A182,'業務'!$P$4:$P$200,"移管")=N182,"移管",IF(COUNTIFS('業務'!$M$4:$M$200,A182,'業務'!$P$4:$P$200,"移管")&gt;0,"一部",IF(COUNTIFS('業務'!$M$4:$M$200,A182,'業務'!$P$4:$P$200,"対象外")+COUNTIFS('業務'!$M$4:$M$200,A182,'業務'!$P$4:$P$200,"留保")=N182,IF(COUNTIFS('業務'!$M$4:$M$200,A182,'業務'!$P$4:$P$200,"留保")&gt;0,"留保","対象外"),"判定保留")))))</f>
        <v/>
      </c>
    </row>
    <row r="183">
      <c r="A183" s="17" t="n"/>
      <c r="B183" s="17" t="n"/>
      <c r="C183" s="17" t="n"/>
      <c r="D183" s="41">
        <f>IF(C183="","",IFERROR(INDEX('予算シート'!$B:$B,MATCH(C183,'予算シート'!$A:$A,0)),"案件が未登録"))</f>
        <v/>
      </c>
      <c r="E183" s="17" t="n"/>
      <c r="F183" s="17" t="n"/>
      <c r="G183" s="17" t="n"/>
      <c r="H183" s="29" t="n"/>
      <c r="I183" s="29" t="n"/>
      <c r="J183" s="17" t="n"/>
      <c r="K183" s="20" t="n"/>
      <c r="L183" s="41">
        <f>IF(OR(I183="",K183=""),"",EDATE(I183,-K183))</f>
        <v/>
      </c>
      <c r="M183" s="18" t="n"/>
      <c r="N183" s="45">
        <f>IF(A183="","",COUNTIF('業務'!$M$4:$M$200,A183))</f>
        <v/>
      </c>
      <c r="O183" s="41">
        <f>IF(A183="","",IF(N183=0,"対象外",IF(COUNTIFS('業務'!$M$4:$M$200,A183,'業務'!$P$4:$P$200,"移管")=N183,"移管",IF(COUNTIFS('業務'!$M$4:$M$200,A183,'業務'!$P$4:$P$200,"移管")&gt;0,"一部",IF(COUNTIFS('業務'!$M$4:$M$200,A183,'業務'!$P$4:$P$200,"対象外")+COUNTIFS('業務'!$M$4:$M$200,A183,'業務'!$P$4:$P$200,"留保")=N183,IF(COUNTIFS('業務'!$M$4:$M$200,A183,'業務'!$P$4:$P$200,"留保")&gt;0,"留保","対象外"),"判定保留")))))</f>
        <v/>
      </c>
    </row>
    <row r="184">
      <c r="A184" s="17" t="n"/>
      <c r="B184" s="17" t="n"/>
      <c r="C184" s="17" t="n"/>
      <c r="D184" s="41">
        <f>IF(C184="","",IFERROR(INDEX('予算シート'!$B:$B,MATCH(C184,'予算シート'!$A:$A,0)),"案件が未登録"))</f>
        <v/>
      </c>
      <c r="E184" s="17" t="n"/>
      <c r="F184" s="17" t="n"/>
      <c r="G184" s="17" t="n"/>
      <c r="H184" s="29" t="n"/>
      <c r="I184" s="29" t="n"/>
      <c r="J184" s="17" t="n"/>
      <c r="K184" s="20" t="n"/>
      <c r="L184" s="41">
        <f>IF(OR(I184="",K184=""),"",EDATE(I184,-K184))</f>
        <v/>
      </c>
      <c r="M184" s="18" t="n"/>
      <c r="N184" s="45">
        <f>IF(A184="","",COUNTIF('業務'!$M$4:$M$200,A184))</f>
        <v/>
      </c>
      <c r="O184" s="41">
        <f>IF(A184="","",IF(N184=0,"対象外",IF(COUNTIFS('業務'!$M$4:$M$200,A184,'業務'!$P$4:$P$200,"移管")=N184,"移管",IF(COUNTIFS('業務'!$M$4:$M$200,A184,'業務'!$P$4:$P$200,"移管")&gt;0,"一部",IF(COUNTIFS('業務'!$M$4:$M$200,A184,'業務'!$P$4:$P$200,"対象外")+COUNTIFS('業務'!$M$4:$M$200,A184,'業務'!$P$4:$P$200,"留保")=N184,IF(COUNTIFS('業務'!$M$4:$M$200,A184,'業務'!$P$4:$P$200,"留保")&gt;0,"留保","対象外"),"判定保留")))))</f>
        <v/>
      </c>
    </row>
    <row r="185">
      <c r="A185" s="17" t="n"/>
      <c r="B185" s="17" t="n"/>
      <c r="C185" s="17" t="n"/>
      <c r="D185" s="41">
        <f>IF(C185="","",IFERROR(INDEX('予算シート'!$B:$B,MATCH(C185,'予算シート'!$A:$A,0)),"案件が未登録"))</f>
        <v/>
      </c>
      <c r="E185" s="17" t="n"/>
      <c r="F185" s="17" t="n"/>
      <c r="G185" s="17" t="n"/>
      <c r="H185" s="29" t="n"/>
      <c r="I185" s="29" t="n"/>
      <c r="J185" s="17" t="n"/>
      <c r="K185" s="20" t="n"/>
      <c r="L185" s="41">
        <f>IF(OR(I185="",K185=""),"",EDATE(I185,-K185))</f>
        <v/>
      </c>
      <c r="M185" s="18" t="n"/>
      <c r="N185" s="45">
        <f>IF(A185="","",COUNTIF('業務'!$M$4:$M$200,A185))</f>
        <v/>
      </c>
      <c r="O185" s="41">
        <f>IF(A185="","",IF(N185=0,"対象外",IF(COUNTIFS('業務'!$M$4:$M$200,A185,'業務'!$P$4:$P$200,"移管")=N185,"移管",IF(COUNTIFS('業務'!$M$4:$M$200,A185,'業務'!$P$4:$P$200,"移管")&gt;0,"一部",IF(COUNTIFS('業務'!$M$4:$M$200,A185,'業務'!$P$4:$P$200,"対象外")+COUNTIFS('業務'!$M$4:$M$200,A185,'業務'!$P$4:$P$200,"留保")=N185,IF(COUNTIFS('業務'!$M$4:$M$200,A185,'業務'!$P$4:$P$200,"留保")&gt;0,"留保","対象外"),"判定保留")))))</f>
        <v/>
      </c>
    </row>
    <row r="186">
      <c r="A186" s="17" t="n"/>
      <c r="B186" s="17" t="n"/>
      <c r="C186" s="17" t="n"/>
      <c r="D186" s="41">
        <f>IF(C186="","",IFERROR(INDEX('予算シート'!$B:$B,MATCH(C186,'予算シート'!$A:$A,0)),"案件が未登録"))</f>
        <v/>
      </c>
      <c r="E186" s="17" t="n"/>
      <c r="F186" s="17" t="n"/>
      <c r="G186" s="17" t="n"/>
      <c r="H186" s="29" t="n"/>
      <c r="I186" s="29" t="n"/>
      <c r="J186" s="17" t="n"/>
      <c r="K186" s="20" t="n"/>
      <c r="L186" s="41">
        <f>IF(OR(I186="",K186=""),"",EDATE(I186,-K186))</f>
        <v/>
      </c>
      <c r="M186" s="18" t="n"/>
      <c r="N186" s="45">
        <f>IF(A186="","",COUNTIF('業務'!$M$4:$M$200,A186))</f>
        <v/>
      </c>
      <c r="O186" s="41">
        <f>IF(A186="","",IF(N186=0,"対象外",IF(COUNTIFS('業務'!$M$4:$M$200,A186,'業務'!$P$4:$P$200,"移管")=N186,"移管",IF(COUNTIFS('業務'!$M$4:$M$200,A186,'業務'!$P$4:$P$200,"移管")&gt;0,"一部",IF(COUNTIFS('業務'!$M$4:$M$200,A186,'業務'!$P$4:$P$200,"対象外")+COUNTIFS('業務'!$M$4:$M$200,A186,'業務'!$P$4:$P$200,"留保")=N186,IF(COUNTIFS('業務'!$M$4:$M$200,A186,'業務'!$P$4:$P$200,"留保")&gt;0,"留保","対象外"),"判定保留")))))</f>
        <v/>
      </c>
    </row>
    <row r="187">
      <c r="A187" s="17" t="n"/>
      <c r="B187" s="17" t="n"/>
      <c r="C187" s="17" t="n"/>
      <c r="D187" s="41">
        <f>IF(C187="","",IFERROR(INDEX('予算シート'!$B:$B,MATCH(C187,'予算シート'!$A:$A,0)),"案件が未登録"))</f>
        <v/>
      </c>
      <c r="E187" s="17" t="n"/>
      <c r="F187" s="17" t="n"/>
      <c r="G187" s="17" t="n"/>
      <c r="H187" s="29" t="n"/>
      <c r="I187" s="29" t="n"/>
      <c r="J187" s="17" t="n"/>
      <c r="K187" s="20" t="n"/>
      <c r="L187" s="41">
        <f>IF(OR(I187="",K187=""),"",EDATE(I187,-K187))</f>
        <v/>
      </c>
      <c r="M187" s="18" t="n"/>
      <c r="N187" s="45">
        <f>IF(A187="","",COUNTIF('業務'!$M$4:$M$200,A187))</f>
        <v/>
      </c>
      <c r="O187" s="41">
        <f>IF(A187="","",IF(N187=0,"対象外",IF(COUNTIFS('業務'!$M$4:$M$200,A187,'業務'!$P$4:$P$200,"移管")=N187,"移管",IF(COUNTIFS('業務'!$M$4:$M$200,A187,'業務'!$P$4:$P$200,"移管")&gt;0,"一部",IF(COUNTIFS('業務'!$M$4:$M$200,A187,'業務'!$P$4:$P$200,"対象外")+COUNTIFS('業務'!$M$4:$M$200,A187,'業務'!$P$4:$P$200,"留保")=N187,IF(COUNTIFS('業務'!$M$4:$M$200,A187,'業務'!$P$4:$P$200,"留保")&gt;0,"留保","対象外"),"判定保留")))))</f>
        <v/>
      </c>
    </row>
    <row r="188">
      <c r="A188" s="17" t="n"/>
      <c r="B188" s="17" t="n"/>
      <c r="C188" s="17" t="n"/>
      <c r="D188" s="41">
        <f>IF(C188="","",IFERROR(INDEX('予算シート'!$B:$B,MATCH(C188,'予算シート'!$A:$A,0)),"案件が未登録"))</f>
        <v/>
      </c>
      <c r="E188" s="17" t="n"/>
      <c r="F188" s="17" t="n"/>
      <c r="G188" s="17" t="n"/>
      <c r="H188" s="29" t="n"/>
      <c r="I188" s="29" t="n"/>
      <c r="J188" s="17" t="n"/>
      <c r="K188" s="20" t="n"/>
      <c r="L188" s="41">
        <f>IF(OR(I188="",K188=""),"",EDATE(I188,-K188))</f>
        <v/>
      </c>
      <c r="M188" s="18" t="n"/>
      <c r="N188" s="45">
        <f>IF(A188="","",COUNTIF('業務'!$M$4:$M$200,A188))</f>
        <v/>
      </c>
      <c r="O188" s="41">
        <f>IF(A188="","",IF(N188=0,"対象外",IF(COUNTIFS('業務'!$M$4:$M$200,A188,'業務'!$P$4:$P$200,"移管")=N188,"移管",IF(COUNTIFS('業務'!$M$4:$M$200,A188,'業務'!$P$4:$P$200,"移管")&gt;0,"一部",IF(COUNTIFS('業務'!$M$4:$M$200,A188,'業務'!$P$4:$P$200,"対象外")+COUNTIFS('業務'!$M$4:$M$200,A188,'業務'!$P$4:$P$200,"留保")=N188,IF(COUNTIFS('業務'!$M$4:$M$200,A188,'業務'!$P$4:$P$200,"留保")&gt;0,"留保","対象外"),"判定保留")))))</f>
        <v/>
      </c>
    </row>
    <row r="189">
      <c r="A189" s="17" t="n"/>
      <c r="B189" s="17" t="n"/>
      <c r="C189" s="17" t="n"/>
      <c r="D189" s="41">
        <f>IF(C189="","",IFERROR(INDEX('予算シート'!$B:$B,MATCH(C189,'予算シート'!$A:$A,0)),"案件が未登録"))</f>
        <v/>
      </c>
      <c r="E189" s="17" t="n"/>
      <c r="F189" s="17" t="n"/>
      <c r="G189" s="17" t="n"/>
      <c r="H189" s="29" t="n"/>
      <c r="I189" s="29" t="n"/>
      <c r="J189" s="17" t="n"/>
      <c r="K189" s="20" t="n"/>
      <c r="L189" s="41">
        <f>IF(OR(I189="",K189=""),"",EDATE(I189,-K189))</f>
        <v/>
      </c>
      <c r="M189" s="18" t="n"/>
      <c r="N189" s="45">
        <f>IF(A189="","",COUNTIF('業務'!$M$4:$M$200,A189))</f>
        <v/>
      </c>
      <c r="O189" s="41">
        <f>IF(A189="","",IF(N189=0,"対象外",IF(COUNTIFS('業務'!$M$4:$M$200,A189,'業務'!$P$4:$P$200,"移管")=N189,"移管",IF(COUNTIFS('業務'!$M$4:$M$200,A189,'業務'!$P$4:$P$200,"移管")&gt;0,"一部",IF(COUNTIFS('業務'!$M$4:$M$200,A189,'業務'!$P$4:$P$200,"対象外")+COUNTIFS('業務'!$M$4:$M$200,A189,'業務'!$P$4:$P$200,"留保")=N189,IF(COUNTIFS('業務'!$M$4:$M$200,A189,'業務'!$P$4:$P$200,"留保")&gt;0,"留保","対象外"),"判定保留")))))</f>
        <v/>
      </c>
    </row>
    <row r="190">
      <c r="A190" s="17" t="n"/>
      <c r="B190" s="17" t="n"/>
      <c r="C190" s="17" t="n"/>
      <c r="D190" s="41">
        <f>IF(C190="","",IFERROR(INDEX('予算シート'!$B:$B,MATCH(C190,'予算シート'!$A:$A,0)),"案件が未登録"))</f>
        <v/>
      </c>
      <c r="E190" s="17" t="n"/>
      <c r="F190" s="17" t="n"/>
      <c r="G190" s="17" t="n"/>
      <c r="H190" s="29" t="n"/>
      <c r="I190" s="29" t="n"/>
      <c r="J190" s="17" t="n"/>
      <c r="K190" s="20" t="n"/>
      <c r="L190" s="41">
        <f>IF(OR(I190="",K190=""),"",EDATE(I190,-K190))</f>
        <v/>
      </c>
      <c r="M190" s="18" t="n"/>
      <c r="N190" s="45">
        <f>IF(A190="","",COUNTIF('業務'!$M$4:$M$200,A190))</f>
        <v/>
      </c>
      <c r="O190" s="41">
        <f>IF(A190="","",IF(N190=0,"対象外",IF(COUNTIFS('業務'!$M$4:$M$200,A190,'業務'!$P$4:$P$200,"移管")=N190,"移管",IF(COUNTIFS('業務'!$M$4:$M$200,A190,'業務'!$P$4:$P$200,"移管")&gt;0,"一部",IF(COUNTIFS('業務'!$M$4:$M$200,A190,'業務'!$P$4:$P$200,"対象外")+COUNTIFS('業務'!$M$4:$M$200,A190,'業務'!$P$4:$P$200,"留保")=N190,IF(COUNTIFS('業務'!$M$4:$M$200,A190,'業務'!$P$4:$P$200,"留保")&gt;0,"留保","対象外"),"判定保留")))))</f>
        <v/>
      </c>
    </row>
    <row r="191">
      <c r="A191" s="17" t="n"/>
      <c r="B191" s="17" t="n"/>
      <c r="C191" s="17" t="n"/>
      <c r="D191" s="41">
        <f>IF(C191="","",IFERROR(INDEX('予算シート'!$B:$B,MATCH(C191,'予算シート'!$A:$A,0)),"案件が未登録"))</f>
        <v/>
      </c>
      <c r="E191" s="17" t="n"/>
      <c r="F191" s="17" t="n"/>
      <c r="G191" s="17" t="n"/>
      <c r="H191" s="29" t="n"/>
      <c r="I191" s="29" t="n"/>
      <c r="J191" s="17" t="n"/>
      <c r="K191" s="20" t="n"/>
      <c r="L191" s="41">
        <f>IF(OR(I191="",K191=""),"",EDATE(I191,-K191))</f>
        <v/>
      </c>
      <c r="M191" s="18" t="n"/>
      <c r="N191" s="45">
        <f>IF(A191="","",COUNTIF('業務'!$M$4:$M$200,A191))</f>
        <v/>
      </c>
      <c r="O191" s="41">
        <f>IF(A191="","",IF(N191=0,"対象外",IF(COUNTIFS('業務'!$M$4:$M$200,A191,'業務'!$P$4:$P$200,"移管")=N191,"移管",IF(COUNTIFS('業務'!$M$4:$M$200,A191,'業務'!$P$4:$P$200,"移管")&gt;0,"一部",IF(COUNTIFS('業務'!$M$4:$M$200,A191,'業務'!$P$4:$P$200,"対象外")+COUNTIFS('業務'!$M$4:$M$200,A191,'業務'!$P$4:$P$200,"留保")=N191,IF(COUNTIFS('業務'!$M$4:$M$200,A191,'業務'!$P$4:$P$200,"留保")&gt;0,"留保","対象外"),"判定保留")))))</f>
        <v/>
      </c>
    </row>
    <row r="192">
      <c r="A192" s="17" t="n"/>
      <c r="B192" s="17" t="n"/>
      <c r="C192" s="17" t="n"/>
      <c r="D192" s="41">
        <f>IF(C192="","",IFERROR(INDEX('予算シート'!$B:$B,MATCH(C192,'予算シート'!$A:$A,0)),"案件が未登録"))</f>
        <v/>
      </c>
      <c r="E192" s="17" t="n"/>
      <c r="F192" s="17" t="n"/>
      <c r="G192" s="17" t="n"/>
      <c r="H192" s="29" t="n"/>
      <c r="I192" s="29" t="n"/>
      <c r="J192" s="17" t="n"/>
      <c r="K192" s="20" t="n"/>
      <c r="L192" s="41">
        <f>IF(OR(I192="",K192=""),"",EDATE(I192,-K192))</f>
        <v/>
      </c>
      <c r="M192" s="18" t="n"/>
      <c r="N192" s="45">
        <f>IF(A192="","",COUNTIF('業務'!$M$4:$M$200,A192))</f>
        <v/>
      </c>
      <c r="O192" s="41">
        <f>IF(A192="","",IF(N192=0,"対象外",IF(COUNTIFS('業務'!$M$4:$M$200,A192,'業務'!$P$4:$P$200,"移管")=N192,"移管",IF(COUNTIFS('業務'!$M$4:$M$200,A192,'業務'!$P$4:$P$200,"移管")&gt;0,"一部",IF(COUNTIFS('業務'!$M$4:$M$200,A192,'業務'!$P$4:$P$200,"対象外")+COUNTIFS('業務'!$M$4:$M$200,A192,'業務'!$P$4:$P$200,"留保")=N192,IF(COUNTIFS('業務'!$M$4:$M$200,A192,'業務'!$P$4:$P$200,"留保")&gt;0,"留保","対象外"),"判定保留")))))</f>
        <v/>
      </c>
    </row>
    <row r="193">
      <c r="A193" s="17" t="n"/>
      <c r="B193" s="17" t="n"/>
      <c r="C193" s="17" t="n"/>
      <c r="D193" s="41">
        <f>IF(C193="","",IFERROR(INDEX('予算シート'!$B:$B,MATCH(C193,'予算シート'!$A:$A,0)),"案件が未登録"))</f>
        <v/>
      </c>
      <c r="E193" s="17" t="n"/>
      <c r="F193" s="17" t="n"/>
      <c r="G193" s="17" t="n"/>
      <c r="H193" s="29" t="n"/>
      <c r="I193" s="29" t="n"/>
      <c r="J193" s="17" t="n"/>
      <c r="K193" s="20" t="n"/>
      <c r="L193" s="41">
        <f>IF(OR(I193="",K193=""),"",EDATE(I193,-K193))</f>
        <v/>
      </c>
      <c r="M193" s="18" t="n"/>
      <c r="N193" s="45">
        <f>IF(A193="","",COUNTIF('業務'!$M$4:$M$200,A193))</f>
        <v/>
      </c>
      <c r="O193" s="41">
        <f>IF(A193="","",IF(N193=0,"対象外",IF(COUNTIFS('業務'!$M$4:$M$200,A193,'業務'!$P$4:$P$200,"移管")=N193,"移管",IF(COUNTIFS('業務'!$M$4:$M$200,A193,'業務'!$P$4:$P$200,"移管")&gt;0,"一部",IF(COUNTIFS('業務'!$M$4:$M$200,A193,'業務'!$P$4:$P$200,"対象外")+COUNTIFS('業務'!$M$4:$M$200,A193,'業務'!$P$4:$P$200,"留保")=N193,IF(COUNTIFS('業務'!$M$4:$M$200,A193,'業務'!$P$4:$P$200,"留保")&gt;0,"留保","対象外"),"判定保留")))))</f>
        <v/>
      </c>
    </row>
    <row r="194">
      <c r="A194" s="17" t="n"/>
      <c r="B194" s="17" t="n"/>
      <c r="C194" s="17" t="n"/>
      <c r="D194" s="41">
        <f>IF(C194="","",IFERROR(INDEX('予算シート'!$B:$B,MATCH(C194,'予算シート'!$A:$A,0)),"案件が未登録"))</f>
        <v/>
      </c>
      <c r="E194" s="17" t="n"/>
      <c r="F194" s="17" t="n"/>
      <c r="G194" s="17" t="n"/>
      <c r="H194" s="29" t="n"/>
      <c r="I194" s="29" t="n"/>
      <c r="J194" s="17" t="n"/>
      <c r="K194" s="20" t="n"/>
      <c r="L194" s="41">
        <f>IF(OR(I194="",K194=""),"",EDATE(I194,-K194))</f>
        <v/>
      </c>
      <c r="M194" s="18" t="n"/>
      <c r="N194" s="45">
        <f>IF(A194="","",COUNTIF('業務'!$M$4:$M$200,A194))</f>
        <v/>
      </c>
      <c r="O194" s="41">
        <f>IF(A194="","",IF(N194=0,"対象外",IF(COUNTIFS('業務'!$M$4:$M$200,A194,'業務'!$P$4:$P$200,"移管")=N194,"移管",IF(COUNTIFS('業務'!$M$4:$M$200,A194,'業務'!$P$4:$P$200,"移管")&gt;0,"一部",IF(COUNTIFS('業務'!$M$4:$M$200,A194,'業務'!$P$4:$P$200,"対象外")+COUNTIFS('業務'!$M$4:$M$200,A194,'業務'!$P$4:$P$200,"留保")=N194,IF(COUNTIFS('業務'!$M$4:$M$200,A194,'業務'!$P$4:$P$200,"留保")&gt;0,"留保","対象外"),"判定保留")))))</f>
        <v/>
      </c>
    </row>
    <row r="195">
      <c r="A195" s="17" t="n"/>
      <c r="B195" s="17" t="n"/>
      <c r="C195" s="17" t="n"/>
      <c r="D195" s="41">
        <f>IF(C195="","",IFERROR(INDEX('予算シート'!$B:$B,MATCH(C195,'予算シート'!$A:$A,0)),"案件が未登録"))</f>
        <v/>
      </c>
      <c r="E195" s="17" t="n"/>
      <c r="F195" s="17" t="n"/>
      <c r="G195" s="17" t="n"/>
      <c r="H195" s="29" t="n"/>
      <c r="I195" s="29" t="n"/>
      <c r="J195" s="17" t="n"/>
      <c r="K195" s="20" t="n"/>
      <c r="L195" s="41">
        <f>IF(OR(I195="",K195=""),"",EDATE(I195,-K195))</f>
        <v/>
      </c>
      <c r="M195" s="18" t="n"/>
      <c r="N195" s="45">
        <f>IF(A195="","",COUNTIF('業務'!$M$4:$M$200,A195))</f>
        <v/>
      </c>
      <c r="O195" s="41">
        <f>IF(A195="","",IF(N195=0,"対象外",IF(COUNTIFS('業務'!$M$4:$M$200,A195,'業務'!$P$4:$P$200,"移管")=N195,"移管",IF(COUNTIFS('業務'!$M$4:$M$200,A195,'業務'!$P$4:$P$200,"移管")&gt;0,"一部",IF(COUNTIFS('業務'!$M$4:$M$200,A195,'業務'!$P$4:$P$200,"対象外")+COUNTIFS('業務'!$M$4:$M$200,A195,'業務'!$P$4:$P$200,"留保")=N195,IF(COUNTIFS('業務'!$M$4:$M$200,A195,'業務'!$P$4:$P$200,"留保")&gt;0,"留保","対象外"),"判定保留")))))</f>
        <v/>
      </c>
    </row>
    <row r="196">
      <c r="A196" s="17" t="n"/>
      <c r="B196" s="17" t="n"/>
      <c r="C196" s="17" t="n"/>
      <c r="D196" s="41">
        <f>IF(C196="","",IFERROR(INDEX('予算シート'!$B:$B,MATCH(C196,'予算シート'!$A:$A,0)),"案件が未登録"))</f>
        <v/>
      </c>
      <c r="E196" s="17" t="n"/>
      <c r="F196" s="17" t="n"/>
      <c r="G196" s="17" t="n"/>
      <c r="H196" s="29" t="n"/>
      <c r="I196" s="29" t="n"/>
      <c r="J196" s="17" t="n"/>
      <c r="K196" s="20" t="n"/>
      <c r="L196" s="41">
        <f>IF(OR(I196="",K196=""),"",EDATE(I196,-K196))</f>
        <v/>
      </c>
      <c r="M196" s="18" t="n"/>
      <c r="N196" s="45">
        <f>IF(A196="","",COUNTIF('業務'!$M$4:$M$200,A196))</f>
        <v/>
      </c>
      <c r="O196" s="41">
        <f>IF(A196="","",IF(N196=0,"対象外",IF(COUNTIFS('業務'!$M$4:$M$200,A196,'業務'!$P$4:$P$200,"移管")=N196,"移管",IF(COUNTIFS('業務'!$M$4:$M$200,A196,'業務'!$P$4:$P$200,"移管")&gt;0,"一部",IF(COUNTIFS('業務'!$M$4:$M$200,A196,'業務'!$P$4:$P$200,"対象外")+COUNTIFS('業務'!$M$4:$M$200,A196,'業務'!$P$4:$P$200,"留保")=N196,IF(COUNTIFS('業務'!$M$4:$M$200,A196,'業務'!$P$4:$P$200,"留保")&gt;0,"留保","対象外"),"判定保留")))))</f>
        <v/>
      </c>
    </row>
    <row r="197">
      <c r="A197" s="17" t="n"/>
      <c r="B197" s="17" t="n"/>
      <c r="C197" s="17" t="n"/>
      <c r="D197" s="41">
        <f>IF(C197="","",IFERROR(INDEX('予算シート'!$B:$B,MATCH(C197,'予算シート'!$A:$A,0)),"案件が未登録"))</f>
        <v/>
      </c>
      <c r="E197" s="17" t="n"/>
      <c r="F197" s="17" t="n"/>
      <c r="G197" s="17" t="n"/>
      <c r="H197" s="29" t="n"/>
      <c r="I197" s="29" t="n"/>
      <c r="J197" s="17" t="n"/>
      <c r="K197" s="20" t="n"/>
      <c r="L197" s="41">
        <f>IF(OR(I197="",K197=""),"",EDATE(I197,-K197))</f>
        <v/>
      </c>
      <c r="M197" s="18" t="n"/>
      <c r="N197" s="45">
        <f>IF(A197="","",COUNTIF('業務'!$M$4:$M$200,A197))</f>
        <v/>
      </c>
      <c r="O197" s="41">
        <f>IF(A197="","",IF(N197=0,"対象外",IF(COUNTIFS('業務'!$M$4:$M$200,A197,'業務'!$P$4:$P$200,"移管")=N197,"移管",IF(COUNTIFS('業務'!$M$4:$M$200,A197,'業務'!$P$4:$P$200,"移管")&gt;0,"一部",IF(COUNTIFS('業務'!$M$4:$M$200,A197,'業務'!$P$4:$P$200,"対象外")+COUNTIFS('業務'!$M$4:$M$200,A197,'業務'!$P$4:$P$200,"留保")=N197,IF(COUNTIFS('業務'!$M$4:$M$200,A197,'業務'!$P$4:$P$200,"留保")&gt;0,"留保","対象外"),"判定保留")))))</f>
        <v/>
      </c>
    </row>
    <row r="198">
      <c r="A198" s="17" t="n"/>
      <c r="B198" s="17" t="n"/>
      <c r="C198" s="17" t="n"/>
      <c r="D198" s="41">
        <f>IF(C198="","",IFERROR(INDEX('予算シート'!$B:$B,MATCH(C198,'予算シート'!$A:$A,0)),"案件が未登録"))</f>
        <v/>
      </c>
      <c r="E198" s="17" t="n"/>
      <c r="F198" s="17" t="n"/>
      <c r="G198" s="17" t="n"/>
      <c r="H198" s="29" t="n"/>
      <c r="I198" s="29" t="n"/>
      <c r="J198" s="17" t="n"/>
      <c r="K198" s="20" t="n"/>
      <c r="L198" s="41">
        <f>IF(OR(I198="",K198=""),"",EDATE(I198,-K198))</f>
        <v/>
      </c>
      <c r="M198" s="18" t="n"/>
      <c r="N198" s="45">
        <f>IF(A198="","",COUNTIF('業務'!$M$4:$M$200,A198))</f>
        <v/>
      </c>
      <c r="O198" s="41">
        <f>IF(A198="","",IF(N198=0,"対象外",IF(COUNTIFS('業務'!$M$4:$M$200,A198,'業務'!$P$4:$P$200,"移管")=N198,"移管",IF(COUNTIFS('業務'!$M$4:$M$200,A198,'業務'!$P$4:$P$200,"移管")&gt;0,"一部",IF(COUNTIFS('業務'!$M$4:$M$200,A198,'業務'!$P$4:$P$200,"対象外")+COUNTIFS('業務'!$M$4:$M$200,A198,'業務'!$P$4:$P$200,"留保")=N198,IF(COUNTIFS('業務'!$M$4:$M$200,A198,'業務'!$P$4:$P$200,"留保")&gt;0,"留保","対象外"),"判定保留")))))</f>
        <v/>
      </c>
    </row>
    <row r="199">
      <c r="A199" s="17" t="n"/>
      <c r="B199" s="17" t="n"/>
      <c r="C199" s="17" t="n"/>
      <c r="D199" s="41">
        <f>IF(C199="","",IFERROR(INDEX('予算シート'!$B:$B,MATCH(C199,'予算シート'!$A:$A,0)),"案件が未登録"))</f>
        <v/>
      </c>
      <c r="E199" s="17" t="n"/>
      <c r="F199" s="17" t="n"/>
      <c r="G199" s="17" t="n"/>
      <c r="H199" s="29" t="n"/>
      <c r="I199" s="29" t="n"/>
      <c r="J199" s="17" t="n"/>
      <c r="K199" s="20" t="n"/>
      <c r="L199" s="41">
        <f>IF(OR(I199="",K199=""),"",EDATE(I199,-K199))</f>
        <v/>
      </c>
      <c r="M199" s="18" t="n"/>
      <c r="N199" s="45">
        <f>IF(A199="","",COUNTIF('業務'!$M$4:$M$200,A199))</f>
        <v/>
      </c>
      <c r="O199" s="41">
        <f>IF(A199="","",IF(N199=0,"対象外",IF(COUNTIFS('業務'!$M$4:$M$200,A199,'業務'!$P$4:$P$200,"移管")=N199,"移管",IF(COUNTIFS('業務'!$M$4:$M$200,A199,'業務'!$P$4:$P$200,"移管")&gt;0,"一部",IF(COUNTIFS('業務'!$M$4:$M$200,A199,'業務'!$P$4:$P$200,"対象外")+COUNTIFS('業務'!$M$4:$M$200,A199,'業務'!$P$4:$P$200,"留保")=N199,IF(COUNTIFS('業務'!$M$4:$M$200,A199,'業務'!$P$4:$P$200,"留保")&gt;0,"留保","対象外"),"判定保留")))))</f>
        <v/>
      </c>
    </row>
    <row r="200">
      <c r="A200" s="17" t="n"/>
      <c r="B200" s="17" t="n"/>
      <c r="C200" s="17" t="n"/>
      <c r="D200" s="41">
        <f>IF(C200="","",IFERROR(INDEX('予算シート'!$B:$B,MATCH(C200,'予算シート'!$A:$A,0)),"案件が未登録"))</f>
        <v/>
      </c>
      <c r="E200" s="17" t="n"/>
      <c r="F200" s="17" t="n"/>
      <c r="G200" s="17" t="n"/>
      <c r="H200" s="29" t="n"/>
      <c r="I200" s="29" t="n"/>
      <c r="J200" s="17" t="n"/>
      <c r="K200" s="20" t="n"/>
      <c r="L200" s="41">
        <f>IF(OR(I200="",K200=""),"",EDATE(I200,-K200))</f>
        <v/>
      </c>
      <c r="M200" s="18" t="n"/>
      <c r="N200" s="45">
        <f>IF(A200="","",COUNTIF('業務'!$M$4:$M$200,A200))</f>
        <v/>
      </c>
      <c r="O200" s="41">
        <f>IF(A200="","",IF(N200=0,"対象外",IF(COUNTIFS('業務'!$M$4:$M$200,A200,'業務'!$P$4:$P$200,"移管")=N200,"移管",IF(COUNTIFS('業務'!$M$4:$M$200,A200,'業務'!$P$4:$P$200,"移管")&gt;0,"一部",IF(COUNTIFS('業務'!$M$4:$M$200,A200,'業務'!$P$4:$P$200,"対象外")+COUNTIFS('業務'!$M$4:$M$200,A200,'業務'!$P$4:$P$200,"留保")=N200,IF(COUNTIFS('業務'!$M$4:$M$200,A200,'業務'!$P$4:$P$200,"留保")&gt;0,"留保","対象外"),"判定保留")))))</f>
        <v/>
      </c>
    </row>
  </sheetData>
  <dataValidations count="3">
    <dataValidation sqref="C4:C200" showDropDown="0" showInputMessage="0" showErrorMessage="0" allowBlank="1" type="list">
      <formula1>'予算シート'!$A$5:$A$200</formula1>
    </dataValidation>
    <dataValidation sqref="F4:F200" showDropDown="0" showInputMessage="0" showErrorMessage="0" allowBlank="1" type="list">
      <formula1>'選択肢'!$I$5:$I$17</formula1>
    </dataValidation>
    <dataValidation sqref="J4:J200" showDropDown="0" showInputMessage="0" showErrorMessage="0" allowBlank="1" type="list">
      <formula1>'選択肢'!$G$5:$G$12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hidden="1" width="6" customWidth="1" min="1" max="1"/>
    <col width="24" customWidth="1" min="2" max="2"/>
    <col width="28" customWidth="1" min="3" max="3"/>
    <col width="14" customWidth="1" min="4" max="4"/>
    <col width="20" customWidth="1" min="5" max="5"/>
    <col width="56" customWidth="1" min="6" max="6"/>
  </cols>
  <sheetData>
    <row r="1">
      <c r="A1" s="1" t="inlineStr">
        <is>
          <t>判定表</t>
        </is>
      </c>
    </row>
    <row r="2">
      <c r="A2" s="4" t="inlineStr">
        <is>
          <t>判定の基準。緑の列を書き換えると判定が変わる。回答の文言は「選択肢」シートから自動で表示される。</t>
        </is>
      </c>
    </row>
    <row r="4">
      <c r="B4" s="77" t="inlineStr">
        <is>
          <t>1. 外部性（システム）：3つの観点のレベルのうち最も高いもの。0＝低、1＝中、2＝高</t>
        </is>
      </c>
    </row>
    <row r="5" ht="30" customHeight="1">
      <c r="A5" s="78" t="inlineStr">
        <is>
          <t>キー</t>
        </is>
      </c>
      <c r="B5" s="78" t="inlineStr">
        <is>
          <t>観点</t>
        </is>
      </c>
      <c r="C5" s="78" t="inlineStr">
        <is>
          <t>回答</t>
        </is>
      </c>
      <c r="D5" s="78" t="inlineStr">
        <is>
          <t>レベル（0〜2）</t>
        </is>
      </c>
      <c r="E5" s="78" t="n"/>
      <c r="F5" s="78" t="inlineStr">
        <is>
          <t>意味</t>
        </is>
      </c>
    </row>
    <row r="6">
      <c r="A6" s="49">
        <f>"E|"&amp;B6&amp;"|"&amp;C6</f>
        <v/>
      </c>
      <c r="B6" s="50" t="inlineStr">
        <is>
          <t>利用範囲</t>
        </is>
      </c>
      <c r="C6" s="50">
        <f>'選択肢'!S5</f>
        <v/>
      </c>
      <c r="D6" s="76" t="n">
        <v>0</v>
      </c>
      <c r="E6" s="50" t="n"/>
      <c r="F6" s="50" t="n"/>
    </row>
    <row r="7">
      <c r="A7" s="49">
        <f>"E|"&amp;B7&amp;"|"&amp;C7</f>
        <v/>
      </c>
      <c r="B7" s="50" t="inlineStr">
        <is>
          <t>利用範囲</t>
        </is>
      </c>
      <c r="C7" s="50">
        <f>'選択肢'!S6</f>
        <v/>
      </c>
      <c r="D7" s="76" t="n">
        <v>1</v>
      </c>
      <c r="E7" s="50" t="n"/>
      <c r="F7" s="50" t="n"/>
    </row>
    <row r="8">
      <c r="A8" s="49">
        <f>"E|"&amp;B8&amp;"|"&amp;C8</f>
        <v/>
      </c>
      <c r="B8" s="50" t="inlineStr">
        <is>
          <t>利用範囲</t>
        </is>
      </c>
      <c r="C8" s="50">
        <f>'選択肢'!S7</f>
        <v/>
      </c>
      <c r="D8" s="76" t="n">
        <v>2</v>
      </c>
      <c r="E8" s="50" t="n"/>
      <c r="F8" s="50" t="n"/>
    </row>
    <row r="9">
      <c r="A9" s="49">
        <f>"E|"&amp;B9&amp;"|"&amp;C9</f>
        <v/>
      </c>
      <c r="B9" s="50" t="inlineStr">
        <is>
          <t>データの利用範囲</t>
        </is>
      </c>
      <c r="C9" s="50">
        <f>'選択肢'!U5</f>
        <v/>
      </c>
      <c r="D9" s="76" t="n">
        <v>0</v>
      </c>
      <c r="E9" s="50" t="n"/>
      <c r="F9" s="50" t="n"/>
    </row>
    <row r="10">
      <c r="A10" s="49">
        <f>"E|"&amp;B10&amp;"|"&amp;C10</f>
        <v/>
      </c>
      <c r="B10" s="50" t="inlineStr">
        <is>
          <t>データの利用範囲</t>
        </is>
      </c>
      <c r="C10" s="50">
        <f>'選択肢'!U6</f>
        <v/>
      </c>
      <c r="D10" s="76" t="n">
        <v>1</v>
      </c>
      <c r="E10" s="50" t="n"/>
      <c r="F10" s="50" t="n"/>
    </row>
    <row r="11">
      <c r="A11" s="49">
        <f>"E|"&amp;B11&amp;"|"&amp;C11</f>
        <v/>
      </c>
      <c r="B11" s="50" t="inlineStr">
        <is>
          <t>データの利用範囲</t>
        </is>
      </c>
      <c r="C11" s="50">
        <f>'選択肢'!U7</f>
        <v/>
      </c>
      <c r="D11" s="76" t="n">
        <v>2</v>
      </c>
      <c r="E11" s="50" t="n"/>
      <c r="F11" s="50" t="n"/>
    </row>
    <row r="12">
      <c r="A12" s="49">
        <f>"E|"&amp;B12&amp;"|"&amp;C12</f>
        <v/>
      </c>
      <c r="B12" s="50" t="inlineStr">
        <is>
          <t>環境</t>
        </is>
      </c>
      <c r="C12" s="50">
        <f>'選択肢'!W5</f>
        <v/>
      </c>
      <c r="D12" s="76" t="n">
        <v>0</v>
      </c>
      <c r="E12" s="50" t="n"/>
      <c r="F12" s="50" t="n"/>
    </row>
    <row r="13">
      <c r="A13" s="49">
        <f>"E|"&amp;B13&amp;"|"&amp;C13</f>
        <v/>
      </c>
      <c r="B13" s="50" t="inlineStr">
        <is>
          <t>環境</t>
        </is>
      </c>
      <c r="C13" s="50">
        <f>'選択肢'!W6</f>
        <v/>
      </c>
      <c r="D13" s="76" t="n">
        <v>1</v>
      </c>
      <c r="E13" s="50" t="n"/>
      <c r="F13" s="50" t="n"/>
    </row>
    <row r="14">
      <c r="A14" s="49">
        <f>"E|"&amp;B14&amp;"|"&amp;C14</f>
        <v/>
      </c>
      <c r="B14" s="50" t="inlineStr">
        <is>
          <t>環境</t>
        </is>
      </c>
      <c r="C14" s="50">
        <f>'選択肢'!W7</f>
        <v/>
      </c>
      <c r="D14" s="76" t="n">
        <v>2</v>
      </c>
      <c r="E14" s="50" t="n"/>
      <c r="F14" s="50" t="n"/>
    </row>
    <row r="15">
      <c r="B15" s="4" t="inlineStr">
        <is>
          <t>※ 3つのうち1つでも未回答なら判定保留。</t>
        </is>
      </c>
    </row>
    <row r="17">
      <c r="B17" s="77" t="inlineStr">
        <is>
          <t>2. システム移管判定：外部性だけで決める（安定性では変えない）</t>
        </is>
      </c>
    </row>
    <row r="18" ht="30" customHeight="1">
      <c r="A18" s="78" t="inlineStr">
        <is>
          <t>キー</t>
        </is>
      </c>
      <c r="B18" s="78" t="inlineStr">
        <is>
          <t>外部性</t>
        </is>
      </c>
      <c r="C18" s="78" t="n"/>
      <c r="D18" s="78" t="inlineStr">
        <is>
          <t>移管判定</t>
        </is>
      </c>
      <c r="E18" s="78" t="n"/>
      <c r="F18" s="78" t="inlineStr">
        <is>
          <t>意味</t>
        </is>
      </c>
    </row>
    <row r="19">
      <c r="A19" s="49">
        <f>"S|"&amp;B19</f>
        <v/>
      </c>
      <c r="B19" s="50" t="inlineStr">
        <is>
          <t>高</t>
        </is>
      </c>
      <c r="C19" s="50" t="n"/>
      <c r="D19" s="76" t="inlineStr">
        <is>
          <t>移管</t>
        </is>
      </c>
      <c r="E19" s="76" t="n"/>
      <c r="F19" s="50" t="inlineStr">
        <is>
          <t>全社・社外に影響する。安定性にかかわらず移す</t>
        </is>
      </c>
    </row>
    <row r="20">
      <c r="A20" s="49">
        <f>"S|"&amp;B20</f>
        <v/>
      </c>
      <c r="B20" s="50" t="inlineStr">
        <is>
          <t>中</t>
        </is>
      </c>
      <c r="C20" s="50" t="n"/>
      <c r="D20" s="76" t="inlineStr">
        <is>
          <t>移管</t>
        </is>
      </c>
      <c r="E20" s="76" t="n"/>
      <c r="F20" s="50" t="inlineStr">
        <is>
          <t>他部門に影響する。安定性にかかわらず移す</t>
        </is>
      </c>
    </row>
    <row r="21">
      <c r="A21" s="49">
        <f>"S|"&amp;B21</f>
        <v/>
      </c>
      <c r="B21" s="50" t="inlineStr">
        <is>
          <t>低</t>
        </is>
      </c>
      <c r="C21" s="50" t="n"/>
      <c r="D21" s="76" t="inlineStr">
        <is>
          <t>留保</t>
        </is>
      </c>
      <c r="E21" s="76" t="n"/>
      <c r="F21" s="50" t="inlineStr">
        <is>
          <t>自部門で閉じているので、ひとまず留保</t>
        </is>
      </c>
    </row>
    <row r="22">
      <c r="B22" s="4" t="inlineStr">
        <is>
          <t>※ 外部性が判定保留なら判定保留。</t>
        </is>
      </c>
    </row>
    <row r="24">
      <c r="B24" s="77" t="inlineStr">
        <is>
          <t>3. 安定性（システム）：文書の整備 × 内部の管理者。GxP対象か個人情報ありなら、下の表で1段下げる。高いほど安定して移せる</t>
        </is>
      </c>
    </row>
    <row r="25" ht="30" customHeight="1">
      <c r="A25" s="78" t="inlineStr">
        <is>
          <t>キー</t>
        </is>
      </c>
      <c r="B25" s="78" t="inlineStr">
        <is>
          <t>文書の整備</t>
        </is>
      </c>
      <c r="C25" s="78" t="inlineStr">
        <is>
          <t>内部の管理者</t>
        </is>
      </c>
      <c r="D25" s="78" t="inlineStr">
        <is>
          <t>安定性</t>
        </is>
      </c>
      <c r="E25" s="78" t="n"/>
      <c r="F25" s="78" t="inlineStr">
        <is>
          <t>意味</t>
        </is>
      </c>
    </row>
    <row r="26">
      <c r="A26" s="49">
        <f>"D|"&amp;B26&amp;"|"&amp;C26</f>
        <v/>
      </c>
      <c r="B26" s="50">
        <f>'選択肢'!Y5</f>
        <v/>
      </c>
      <c r="C26" s="50">
        <f>'選択肢'!AA5</f>
        <v/>
      </c>
      <c r="D26" s="76" t="inlineStr">
        <is>
          <t>高</t>
        </is>
      </c>
      <c r="E26" s="76" t="n"/>
      <c r="F26" s="50" t="inlineStr">
        <is>
          <t>文書がそろい、内容を判断できる管理者がいる</t>
        </is>
      </c>
    </row>
    <row r="27">
      <c r="A27" s="49">
        <f>"D|"&amp;B27&amp;"|"&amp;C27</f>
        <v/>
      </c>
      <c r="B27" s="50">
        <f>'選択肢'!Y5</f>
        <v/>
      </c>
      <c r="C27" s="50">
        <f>'選択肢'!AA6</f>
        <v/>
      </c>
      <c r="D27" s="76" t="inlineStr">
        <is>
          <t>中</t>
        </is>
      </c>
      <c r="E27" s="76" t="n"/>
      <c r="F27" s="50" t="inlineStr">
        <is>
          <t>文書か管理者のどちらかが足りない</t>
        </is>
      </c>
    </row>
    <row r="28">
      <c r="A28" s="49">
        <f>"D|"&amp;B28&amp;"|"&amp;C28</f>
        <v/>
      </c>
      <c r="B28" s="50">
        <f>'選択肢'!Y5</f>
        <v/>
      </c>
      <c r="C28" s="50">
        <f>'選択肢'!AA7</f>
        <v/>
      </c>
      <c r="D28" s="76" t="inlineStr">
        <is>
          <t>中</t>
        </is>
      </c>
      <c r="E28" s="76" t="n"/>
      <c r="F28" s="50" t="inlineStr">
        <is>
          <t>文書か管理者のどちらかが足りない</t>
        </is>
      </c>
    </row>
    <row r="29">
      <c r="A29" s="49">
        <f>"D|"&amp;B29&amp;"|"&amp;C29</f>
        <v/>
      </c>
      <c r="B29" s="50">
        <f>'選択肢'!Y6</f>
        <v/>
      </c>
      <c r="C29" s="50">
        <f>'選択肢'!AA5</f>
        <v/>
      </c>
      <c r="D29" s="76" t="inlineStr">
        <is>
          <t>中</t>
        </is>
      </c>
      <c r="E29" s="76" t="n"/>
      <c r="F29" s="50" t="inlineStr">
        <is>
          <t>文書か管理者のどちらかが足りない</t>
        </is>
      </c>
    </row>
    <row r="30">
      <c r="A30" s="49">
        <f>"D|"&amp;B30&amp;"|"&amp;C30</f>
        <v/>
      </c>
      <c r="B30" s="50">
        <f>'選択肢'!Y6</f>
        <v/>
      </c>
      <c r="C30" s="50">
        <f>'選択肢'!AA6</f>
        <v/>
      </c>
      <c r="D30" s="76" t="inlineStr">
        <is>
          <t>低</t>
        </is>
      </c>
      <c r="E30" s="76" t="n"/>
      <c r="F30" s="50" t="inlineStr">
        <is>
          <t>文書も管理者も足りない</t>
        </is>
      </c>
    </row>
    <row r="31">
      <c r="A31" s="49">
        <f>"D|"&amp;B31&amp;"|"&amp;C31</f>
        <v/>
      </c>
      <c r="B31" s="50">
        <f>'選択肢'!Y6</f>
        <v/>
      </c>
      <c r="C31" s="50">
        <f>'選択肢'!AA7</f>
        <v/>
      </c>
      <c r="D31" s="76" t="inlineStr">
        <is>
          <t>低</t>
        </is>
      </c>
      <c r="E31" s="76" t="n"/>
      <c r="F31" s="50" t="inlineStr">
        <is>
          <t>文書も管理者も足りない</t>
        </is>
      </c>
    </row>
    <row r="32">
      <c r="A32" s="49">
        <f>"D|"&amp;B32&amp;"|"&amp;C32</f>
        <v/>
      </c>
      <c r="B32" s="50">
        <f>'選択肢'!Y7</f>
        <v/>
      </c>
      <c r="C32" s="50">
        <f>'選択肢'!AA5</f>
        <v/>
      </c>
      <c r="D32" s="76" t="inlineStr">
        <is>
          <t>中</t>
        </is>
      </c>
      <c r="E32" s="76" t="n"/>
      <c r="F32" s="50" t="inlineStr">
        <is>
          <t>文書か管理者のどちらかが足りない</t>
        </is>
      </c>
    </row>
    <row r="33">
      <c r="A33" s="49">
        <f>"D|"&amp;B33&amp;"|"&amp;C33</f>
        <v/>
      </c>
      <c r="B33" s="50">
        <f>'選択肢'!Y7</f>
        <v/>
      </c>
      <c r="C33" s="50">
        <f>'選択肢'!AA6</f>
        <v/>
      </c>
      <c r="D33" s="76" t="inlineStr">
        <is>
          <t>低</t>
        </is>
      </c>
      <c r="E33" s="76" t="n"/>
      <c r="F33" s="50" t="inlineStr">
        <is>
          <t>文書も管理者も足りない</t>
        </is>
      </c>
    </row>
    <row r="34">
      <c r="A34" s="49">
        <f>"D|"&amp;B34&amp;"|"&amp;C34</f>
        <v/>
      </c>
      <c r="B34" s="50">
        <f>'選択肢'!Y7</f>
        <v/>
      </c>
      <c r="C34" s="50">
        <f>'選択肢'!AA7</f>
        <v/>
      </c>
      <c r="D34" s="76" t="inlineStr">
        <is>
          <t>低</t>
        </is>
      </c>
      <c r="E34" s="76" t="n"/>
      <c r="F34" s="50" t="inlineStr">
        <is>
          <t>文書も管理者も足りない</t>
        </is>
      </c>
    </row>
    <row r="35" ht="30" customHeight="1">
      <c r="A35" s="78" t="inlineStr">
        <is>
          <t>キー</t>
        </is>
      </c>
      <c r="B35" s="78" t="inlineStr">
        <is>
          <t>安定性</t>
        </is>
      </c>
      <c r="C35" s="78" t="inlineStr">
        <is>
          <t>要因</t>
        </is>
      </c>
      <c r="D35" s="78" t="inlineStr">
        <is>
          <t>安定性（要因あり）</t>
        </is>
      </c>
      <c r="E35" s="78" t="n"/>
      <c r="F35" s="78" t="inlineStr">
        <is>
          <t>意味</t>
        </is>
      </c>
    </row>
    <row r="36">
      <c r="A36" s="49">
        <f>"L|"&amp;B36</f>
        <v/>
      </c>
      <c r="B36" s="50" t="inlineStr">
        <is>
          <t>高</t>
        </is>
      </c>
      <c r="C36" s="50" t="inlineStr">
        <is>
          <t>あり</t>
        </is>
      </c>
      <c r="D36" s="76" t="inlineStr">
        <is>
          <t>中</t>
        </is>
      </c>
      <c r="E36" s="76" t="n"/>
      <c r="F36" s="50" t="inlineStr">
        <is>
          <t>GxP対象か個人情報ありなら、規制の手続きが加わる分1段下げる</t>
        </is>
      </c>
    </row>
    <row r="37">
      <c r="A37" s="49">
        <f>"L|"&amp;B37</f>
        <v/>
      </c>
      <c r="B37" s="50" t="inlineStr">
        <is>
          <t>中</t>
        </is>
      </c>
      <c r="C37" s="50" t="inlineStr">
        <is>
          <t>あり</t>
        </is>
      </c>
      <c r="D37" s="76" t="inlineStr">
        <is>
          <t>低</t>
        </is>
      </c>
      <c r="E37" s="76" t="n"/>
      <c r="F37" s="50" t="n"/>
    </row>
    <row r="38">
      <c r="A38" s="49">
        <f>"L|"&amp;B38</f>
        <v/>
      </c>
      <c r="B38" s="50" t="inlineStr">
        <is>
          <t>低</t>
        </is>
      </c>
      <c r="C38" s="50" t="inlineStr">
        <is>
          <t>あり</t>
        </is>
      </c>
      <c r="D38" s="76" t="inlineStr">
        <is>
          <t>低</t>
        </is>
      </c>
      <c r="E38" s="76" t="n"/>
      <c r="F38" s="50" t="n"/>
    </row>
    <row r="39">
      <c r="B39" s="4" t="inlineStr">
        <is>
          <t>※ 文書の整備・内部の管理者・GxP対象・個人情報のどれかが未記入か「未確認」なら判定保留。</t>
        </is>
      </c>
    </row>
    <row r="41">
      <c r="B41" s="77" t="inlineStr">
        <is>
          <t>4. 移管時期（システム）：移管するシステムを、外部性 × 安定性で初年度と2年目以降に分ける。安定性の高いものから先に移す</t>
        </is>
      </c>
    </row>
    <row r="42" ht="30" customHeight="1">
      <c r="A42" s="78" t="inlineStr">
        <is>
          <t>キー</t>
        </is>
      </c>
      <c r="B42" s="78" t="inlineStr">
        <is>
          <t>外部性</t>
        </is>
      </c>
      <c r="C42" s="78" t="inlineStr">
        <is>
          <t>安定性</t>
        </is>
      </c>
      <c r="D42" s="78" t="inlineStr">
        <is>
          <t>移管時期</t>
        </is>
      </c>
      <c r="E42" s="78" t="n"/>
      <c r="F42" s="78" t="inlineStr">
        <is>
          <t>意味</t>
        </is>
      </c>
    </row>
    <row r="43">
      <c r="A43" s="49">
        <f>"T|"&amp;B43&amp;"|"&amp;C43</f>
        <v/>
      </c>
      <c r="B43" s="50" t="inlineStr">
        <is>
          <t>高</t>
        </is>
      </c>
      <c r="C43" s="50" t="inlineStr">
        <is>
          <t>高</t>
        </is>
      </c>
      <c r="D43" s="76" t="inlineStr">
        <is>
          <t>初年度</t>
        </is>
      </c>
      <c r="E43" s="76" t="n"/>
      <c r="F43" s="50" t="inlineStr">
        <is>
          <t>必要で、安定して移せる。最優先</t>
        </is>
      </c>
    </row>
    <row r="44">
      <c r="A44" s="49">
        <f>"T|"&amp;B44&amp;"|"&amp;C44</f>
        <v/>
      </c>
      <c r="B44" s="50" t="inlineStr">
        <is>
          <t>高</t>
        </is>
      </c>
      <c r="C44" s="50" t="inlineStr">
        <is>
          <t>中</t>
        </is>
      </c>
      <c r="D44" s="76" t="inlineStr">
        <is>
          <t>初年度</t>
        </is>
      </c>
      <c r="E44" s="76" t="n"/>
      <c r="F44" s="50" t="inlineStr">
        <is>
          <t>必要性が高い。準備を並行して初年度に移す</t>
        </is>
      </c>
    </row>
    <row r="45">
      <c r="A45" s="49">
        <f>"T|"&amp;B45&amp;"|"&amp;C45</f>
        <v/>
      </c>
      <c r="B45" s="50" t="inlineStr">
        <is>
          <t>高</t>
        </is>
      </c>
      <c r="C45" s="50" t="inlineStr">
        <is>
          <t>低</t>
        </is>
      </c>
      <c r="D45" s="76" t="inlineStr">
        <is>
          <t>2年目以降</t>
        </is>
      </c>
      <c r="E45" s="76" t="n"/>
      <c r="F45" s="50" t="inlineStr">
        <is>
          <t>文書・管理者を整えてから移す</t>
        </is>
      </c>
    </row>
    <row r="46">
      <c r="A46" s="49">
        <f>"T|"&amp;B46&amp;"|"&amp;C46</f>
        <v/>
      </c>
      <c r="B46" s="50" t="inlineStr">
        <is>
          <t>中</t>
        </is>
      </c>
      <c r="C46" s="50" t="inlineStr">
        <is>
          <t>高</t>
        </is>
      </c>
      <c r="D46" s="76" t="inlineStr">
        <is>
          <t>初年度</t>
        </is>
      </c>
      <c r="E46" s="76" t="n"/>
      <c r="F46" s="50" t="inlineStr">
        <is>
          <t>安定して移せるので初年度に移す</t>
        </is>
      </c>
    </row>
    <row r="47">
      <c r="A47" s="49">
        <f>"T|"&amp;B47&amp;"|"&amp;C47</f>
        <v/>
      </c>
      <c r="B47" s="50" t="inlineStr">
        <is>
          <t>中</t>
        </is>
      </c>
      <c r="C47" s="50" t="inlineStr">
        <is>
          <t>中</t>
        </is>
      </c>
      <c r="D47" s="76" t="inlineStr">
        <is>
          <t>2年目以降</t>
        </is>
      </c>
      <c r="E47" s="76" t="n"/>
      <c r="F47" s="50" t="inlineStr">
        <is>
          <t>外部性が高いものの後に移す</t>
        </is>
      </c>
    </row>
    <row r="48">
      <c r="A48" s="49">
        <f>"T|"&amp;B48&amp;"|"&amp;C48</f>
        <v/>
      </c>
      <c r="B48" s="50" t="inlineStr">
        <is>
          <t>中</t>
        </is>
      </c>
      <c r="C48" s="50" t="inlineStr">
        <is>
          <t>低</t>
        </is>
      </c>
      <c r="D48" s="76" t="inlineStr">
        <is>
          <t>2年目以降</t>
        </is>
      </c>
      <c r="E48" s="76" t="n"/>
      <c r="F48" s="50" t="inlineStr">
        <is>
          <t>文書・管理者を整えてから移す</t>
        </is>
      </c>
    </row>
    <row r="49">
      <c r="B49" s="4" t="inlineStr">
        <is>
          <t>※ 移管判定が留保なら「—」。安定性が判定保留なら判定保留。契約の通知期限・EOL・改修などの時期の制約は反映していない（協議で調整する）。</t>
        </is>
      </c>
    </row>
    <row r="51">
      <c r="B51" s="77" t="inlineStr">
        <is>
          <t>5. 困難度（業務）：現場の関わり方 × 要因（GxP対象、個人情報あり、SOP無のいずれか）</t>
        </is>
      </c>
    </row>
    <row r="52" ht="30" customHeight="1">
      <c r="A52" s="78" t="inlineStr">
        <is>
          <t>キー</t>
        </is>
      </c>
      <c r="B52" s="78" t="inlineStr">
        <is>
          <t>現場の関わり方</t>
        </is>
      </c>
      <c r="C52" s="78" t="inlineStr">
        <is>
          <t>要因</t>
        </is>
      </c>
      <c r="D52" s="78" t="inlineStr">
        <is>
          <t>困難度</t>
        </is>
      </c>
      <c r="E52" s="78" t="inlineStr">
        <is>
          <t>移管の方法</t>
        </is>
      </c>
      <c r="F52" s="78" t="inlineStr">
        <is>
          <t>意味</t>
        </is>
      </c>
    </row>
    <row r="53">
      <c r="A53" s="49">
        <f>"W|"&amp;B53&amp;"|"&amp;C53</f>
        <v/>
      </c>
      <c r="B53" s="50">
        <f>'選択肢'!AC5</f>
        <v/>
      </c>
      <c r="C53" s="50" t="inlineStr">
        <is>
          <t>なし</t>
        </is>
      </c>
      <c r="D53" s="76" t="inlineStr">
        <is>
          <t>低</t>
        </is>
      </c>
      <c r="E53" s="76" t="inlineStr">
        <is>
          <t>手続きの引継ぎ</t>
        </is>
      </c>
      <c r="F53" s="50" t="n"/>
    </row>
    <row r="54">
      <c r="A54" s="49">
        <f>"W|"&amp;B54&amp;"|"&amp;C54</f>
        <v/>
      </c>
      <c r="B54" s="50">
        <f>'選択肢'!AC5</f>
        <v/>
      </c>
      <c r="C54" s="50" t="inlineStr">
        <is>
          <t>あり</t>
        </is>
      </c>
      <c r="D54" s="76" t="inlineStr">
        <is>
          <t>中</t>
        </is>
      </c>
      <c r="E54" s="76" t="inlineStr">
        <is>
          <t>手続きの引継ぎ</t>
        </is>
      </c>
      <c r="F54" s="50" t="n"/>
    </row>
    <row r="55">
      <c r="A55" s="49">
        <f>"W|"&amp;B55&amp;"|"&amp;C55</f>
        <v/>
      </c>
      <c r="B55" s="50">
        <f>'選択肢'!AC6</f>
        <v/>
      </c>
      <c r="C55" s="50" t="inlineStr">
        <is>
          <t>なし</t>
        </is>
      </c>
      <c r="D55" s="76" t="inlineStr">
        <is>
          <t>中</t>
        </is>
      </c>
      <c r="E55" s="76" t="inlineStr">
        <is>
          <t>委託先管理の引継ぎ</t>
        </is>
      </c>
      <c r="F55" s="50" t="n"/>
    </row>
    <row r="56">
      <c r="A56" s="49">
        <f>"W|"&amp;B56&amp;"|"&amp;C56</f>
        <v/>
      </c>
      <c r="B56" s="50">
        <f>'選択肢'!AC6</f>
        <v/>
      </c>
      <c r="C56" s="50" t="inlineStr">
        <is>
          <t>あり</t>
        </is>
      </c>
      <c r="D56" s="76" t="inlineStr">
        <is>
          <t>高</t>
        </is>
      </c>
      <c r="E56" s="76" t="inlineStr">
        <is>
          <t>委託先管理の引継ぎ</t>
        </is>
      </c>
      <c r="F56" s="50" t="n"/>
    </row>
    <row r="57">
      <c r="A57" s="49">
        <f>"W|"&amp;B57&amp;"|"&amp;C57</f>
        <v/>
      </c>
      <c r="B57" s="50">
        <f>'選択肢'!AC7</f>
        <v/>
      </c>
      <c r="C57" s="50" t="inlineStr">
        <is>
          <t>なし</t>
        </is>
      </c>
      <c r="D57" s="76" t="inlineStr">
        <is>
          <t>高</t>
        </is>
      </c>
      <c r="E57" s="76" t="inlineStr">
        <is>
          <t>要員ごと移管</t>
        </is>
      </c>
      <c r="F57" s="50" t="n"/>
    </row>
    <row r="58">
      <c r="A58" s="49">
        <f>"W|"&amp;B58&amp;"|"&amp;C58</f>
        <v/>
      </c>
      <c r="B58" s="50">
        <f>'選択肢'!AC7</f>
        <v/>
      </c>
      <c r="C58" s="50" t="inlineStr">
        <is>
          <t>あり</t>
        </is>
      </c>
      <c r="D58" s="76" t="inlineStr">
        <is>
          <t>高</t>
        </is>
      </c>
      <c r="E58" s="76" t="inlineStr">
        <is>
          <t>要員ごと移管</t>
        </is>
      </c>
      <c r="F58" s="50" t="n"/>
    </row>
    <row r="59">
      <c r="B59" s="4" t="inlineStr">
        <is>
          <t>※ 棚卸しが「済」でない、または関わり方・GxP対象・個人情報・SOP有無に未記入・未確認があれば判定保留。GxP対象でSOP無は入力エラー。移管の方法は業務移管判定が「移管」のときだけ表示。</t>
        </is>
      </c>
    </row>
    <row r="61">
      <c r="B61" s="77" t="inlineStr">
        <is>
          <t>6. 契約・予算の判定（数式で固定）</t>
        </is>
      </c>
    </row>
    <row r="62">
      <c r="B62" s="79" t="inlineStr">
        <is>
          <t>値はすべてのシートで共通：移管／一部／留保／対象外／判定保留（入力が足りない）</t>
        </is>
      </c>
    </row>
    <row r="63">
      <c r="B63" s="79" t="inlineStr">
        <is>
          <t>業務：対象システムのシステム移管判定を引き継ぐ（移管／留保／判定保留）。対象システムIDが空欄なら対象外</t>
        </is>
      </c>
    </row>
    <row r="64">
      <c r="B64" s="79" t="inlineStr">
        <is>
          <t>契約：紐づく業務が0件→対象外／すべて移管→移管／一部移管→一部／移管がなく判定保留あり→判定保留／留保あり→留保／それ以外→対象外</t>
        </is>
      </c>
    </row>
    <row r="65">
      <c r="B65" s="79" t="inlineStr">
        <is>
          <t>予算シート 業務（AN）：案件に紐付くシステムの業務を集計。業務がまだないシステムは、留保なら留保、それ以外は判定保留として数える。紐付けなし→対象外／すべて移管→移管／一部移管→一部／判定保留あり→判定保留／留保あり→留保</t>
        </is>
      </c>
    </row>
    <row r="66">
      <c r="B66" s="79" t="inlineStr">
        <is>
          <t>予算シート 契約（AM）：案件IDの契約を集計。契約なし→対象外／すべて移管→移管／移管か一部あり→一部／判定保留あり→判定保留／留保あり→留保</t>
        </is>
      </c>
    </row>
    <row r="67">
      <c r="B67" s="79" t="inlineStr">
        <is>
          <t>予算シート 予算（AL）：契約・業務のどちらかが移管→移管／一部→一部／判定保留→判定保留／留保→留保／それ以外→対象外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  <col width="18" customWidth="1" min="5" max="5"/>
    <col width="30" customWidth="1" min="6" max="6"/>
    <col width="18" customWidth="1" min="7" max="7"/>
    <col width="30" customWidth="1" min="8" max="8"/>
    <col width="18" customWidth="1" min="9" max="9"/>
    <col width="30" customWidth="1" min="10" max="10"/>
    <col width="18" customWidth="1" min="11" max="11"/>
    <col width="30" customWidth="1" min="12" max="12"/>
    <col width="18" customWidth="1" min="13" max="13"/>
    <col width="30" customWidth="1" min="14" max="14"/>
    <col width="18" customWidth="1" min="15" max="15"/>
    <col width="30" customWidth="1" min="16" max="16"/>
    <col width="18" customWidth="1" min="17" max="17"/>
    <col width="30" customWidth="1" min="18" max="18"/>
    <col width="24" customWidth="1" min="19" max="19"/>
    <col width="12" customWidth="1" min="20" max="20"/>
    <col width="24" customWidth="1" min="21" max="21"/>
    <col width="12" customWidth="1" min="22" max="22"/>
    <col width="24" customWidth="1" min="23" max="23"/>
    <col width="12" customWidth="1" min="24" max="24"/>
    <col width="24" customWidth="1" min="25" max="25"/>
    <col width="12" customWidth="1" min="26" max="26"/>
    <col width="24" customWidth="1" min="27" max="27"/>
    <col width="12" customWidth="1" min="28" max="28"/>
    <col width="24" customWidth="1" min="29" max="29"/>
    <col width="12" customWidth="1" min="30" max="30"/>
  </cols>
  <sheetData>
    <row r="1">
      <c r="A1" s="1" t="inlineStr">
        <is>
          <t>入力規則の選択肢と定義</t>
        </is>
      </c>
    </row>
    <row r="2">
      <c r="A2" s="4" t="inlineStr">
        <is>
          <t>各シートのドロップダウンはこの列を参照している。増やす場合は、下の空き行の範囲内に書く。</t>
        </is>
      </c>
    </row>
    <row r="4">
      <c r="A4" s="27" t="inlineStr">
        <is>
          <t>費用の性質</t>
        </is>
      </c>
      <c r="B4" s="27" t="inlineStr">
        <is>
          <t>説明</t>
        </is>
      </c>
      <c r="C4" s="27" t="inlineStr">
        <is>
          <t>移管区分</t>
        </is>
      </c>
      <c r="D4" s="27" t="inlineStr">
        <is>
          <t>説明</t>
        </is>
      </c>
      <c r="E4" s="27" t="inlineStr">
        <is>
          <t>該当</t>
        </is>
      </c>
      <c r="F4" s="27" t="inlineStr">
        <is>
          <t>説明</t>
        </is>
      </c>
      <c r="G4" s="27" t="inlineStr">
        <is>
          <t>有無</t>
        </is>
      </c>
      <c r="H4" s="27" t="inlineStr">
        <is>
          <t>説明</t>
        </is>
      </c>
      <c r="I4" s="27" t="inlineStr">
        <is>
          <t>契約種別</t>
        </is>
      </c>
      <c r="J4" s="27" t="inlineStr">
        <is>
          <t>説明</t>
        </is>
      </c>
      <c r="K4" s="27" t="inlineStr">
        <is>
          <t>業務の種類</t>
        </is>
      </c>
      <c r="L4" s="27" t="inlineStr">
        <is>
          <t>説明</t>
        </is>
      </c>
      <c r="M4" s="27" t="inlineStr">
        <is>
          <t>実施者</t>
        </is>
      </c>
      <c r="N4" s="27" t="inlineStr">
        <is>
          <t>説明</t>
        </is>
      </c>
      <c r="O4" s="27" t="inlineStr">
        <is>
          <t>頻度</t>
        </is>
      </c>
      <c r="P4" s="27" t="inlineStr">
        <is>
          <t>説明</t>
        </is>
      </c>
      <c r="Q4" s="27" t="inlineStr">
        <is>
          <t>棚卸し状況</t>
        </is>
      </c>
      <c r="R4" s="27" t="inlineStr">
        <is>
          <t>説明</t>
        </is>
      </c>
      <c r="S4" s="27" t="inlineStr">
        <is>
          <t>利用範囲</t>
        </is>
      </c>
      <c r="T4" s="27" t="inlineStr">
        <is>
          <t>説明</t>
        </is>
      </c>
      <c r="U4" s="27" t="inlineStr">
        <is>
          <t>データの利用範囲</t>
        </is>
      </c>
      <c r="V4" s="27" t="inlineStr">
        <is>
          <t>説明</t>
        </is>
      </c>
      <c r="W4" s="27" t="inlineStr">
        <is>
          <t>環境</t>
        </is>
      </c>
      <c r="X4" s="27" t="inlineStr">
        <is>
          <t>説明</t>
        </is>
      </c>
      <c r="Y4" s="27" t="inlineStr">
        <is>
          <t>文書の整備</t>
        </is>
      </c>
      <c r="Z4" s="27" t="inlineStr">
        <is>
          <t>説明</t>
        </is>
      </c>
      <c r="AA4" s="27" t="inlineStr">
        <is>
          <t>内部の管理者</t>
        </is>
      </c>
      <c r="AB4" s="27" t="inlineStr">
        <is>
          <t>説明</t>
        </is>
      </c>
      <c r="AC4" s="27" t="inlineStr">
        <is>
          <t>現場の関わり方</t>
        </is>
      </c>
      <c r="AD4" s="27" t="inlineStr">
        <is>
          <t>説明</t>
        </is>
      </c>
    </row>
    <row r="5">
      <c r="A5" t="inlineStr">
        <is>
          <t>変動費</t>
        </is>
      </c>
      <c r="B5" s="4" t="inlineStr">
        <is>
          <t>使い方で金額が動く（クラウド消費、ライセンス数など）</t>
        </is>
      </c>
      <c r="C5" t="inlineStr">
        <is>
          <t>移管</t>
        </is>
      </c>
      <c r="D5" s="4" t="inlineStr">
        <is>
          <t>IT部門へ移す</t>
        </is>
      </c>
      <c r="E5" t="inlineStr">
        <is>
          <t>はい</t>
        </is>
      </c>
      <c r="F5" s="4" t="n"/>
      <c r="G5" t="inlineStr">
        <is>
          <t>有</t>
        </is>
      </c>
      <c r="H5" s="4" t="n"/>
      <c r="I5" t="inlineStr">
        <is>
          <t>保守</t>
        </is>
      </c>
      <c r="J5" s="4" t="n"/>
      <c r="K5" t="inlineStr">
        <is>
          <t>運用・監視</t>
        </is>
      </c>
      <c r="L5" s="4" t="n"/>
      <c r="M5" t="inlineStr">
        <is>
          <t>現場部門</t>
        </is>
      </c>
      <c r="N5" s="4" t="n"/>
      <c r="O5" t="inlineStr">
        <is>
          <t>日次</t>
        </is>
      </c>
      <c r="P5" s="4" t="n"/>
      <c r="Q5" t="inlineStr">
        <is>
          <t>済</t>
        </is>
      </c>
      <c r="R5" s="4" t="inlineStr">
        <is>
          <t>業務シートへの記入が終わった</t>
        </is>
      </c>
      <c r="S5" t="inlineStr">
        <is>
          <t>自部門のみ</t>
        </is>
      </c>
      <c r="T5" s="4" t="n"/>
      <c r="U5" t="inlineStr">
        <is>
          <t>自部門のみ</t>
        </is>
      </c>
      <c r="V5" s="4" t="n"/>
      <c r="W5" t="inlineStr">
        <is>
          <t>自部門専用</t>
        </is>
      </c>
      <c r="X5" s="4" t="n"/>
      <c r="Y5" t="inlineStr">
        <is>
          <t>一式ある</t>
        </is>
      </c>
      <c r="Z5" s="4" t="n"/>
      <c r="AA5" t="inlineStr">
        <is>
          <t>いる（内容を判断できる）</t>
        </is>
      </c>
      <c r="AB5" s="4" t="n"/>
      <c r="AC5" t="inlineStr">
        <is>
          <t>予算・契約の管理のみ</t>
        </is>
      </c>
      <c r="AD5" s="4" t="n"/>
    </row>
    <row r="6">
      <c r="A6" t="inlineStr">
        <is>
          <t>固定費</t>
        </is>
      </c>
      <c r="B6" s="4" t="inlineStr">
        <is>
          <t>使い方では動かない（基盤の維持費など）</t>
        </is>
      </c>
      <c r="C6" t="inlineStr">
        <is>
          <t>現場</t>
        </is>
      </c>
      <c r="D6" s="4" t="inlineStr">
        <is>
          <t>現場に残す</t>
        </is>
      </c>
      <c r="E6" t="inlineStr">
        <is>
          <t>いいえ</t>
        </is>
      </c>
      <c r="F6" s="4" t="n"/>
      <c r="G6" t="inlineStr">
        <is>
          <t>無</t>
        </is>
      </c>
      <c r="H6" s="4" t="n"/>
      <c r="I6" t="inlineStr">
        <is>
          <t>利用・サブスクリプション</t>
        </is>
      </c>
      <c r="J6" s="4" t="n"/>
      <c r="K6" t="inlineStr">
        <is>
          <t>問い合わせ対応</t>
        </is>
      </c>
      <c r="L6" s="4" t="n"/>
      <c r="M6" t="inlineStr">
        <is>
          <t>IT部門</t>
        </is>
      </c>
      <c r="N6" s="4" t="n"/>
      <c r="O6" t="inlineStr">
        <is>
          <t>週次</t>
        </is>
      </c>
      <c r="P6" s="4" t="n"/>
      <c r="Q6" t="inlineStr">
        <is>
          <t>未</t>
        </is>
      </c>
      <c r="R6" s="4" t="inlineStr">
        <is>
          <t>まだ記入していない</t>
        </is>
      </c>
      <c r="S6" t="inlineStr">
        <is>
          <t>他部門も利用</t>
        </is>
      </c>
      <c r="T6" s="4" t="n"/>
      <c r="U6" t="inlineStr">
        <is>
          <t>他部門・他システムも利用</t>
        </is>
      </c>
      <c r="V6" s="4" t="n"/>
      <c r="W6" t="inlineStr">
        <is>
          <t>共用環境の一部を使う</t>
        </is>
      </c>
      <c r="X6" s="4" t="n"/>
      <c r="Y6" t="inlineStr">
        <is>
          <t>一部ある</t>
        </is>
      </c>
      <c r="Z6" s="4" t="n"/>
      <c r="AA6" t="inlineStr">
        <is>
          <t>名目上いる</t>
        </is>
      </c>
      <c r="AB6" s="4" t="n"/>
      <c r="AC6" t="inlineStr">
        <is>
          <t>委託先の管理（指示・検収）</t>
        </is>
      </c>
      <c r="AD6" s="4" t="n"/>
    </row>
    <row r="7">
      <c r="A7" t="inlineStr">
        <is>
          <t>現場固有の増分</t>
        </is>
      </c>
      <c r="B7" s="4" t="inlineStr">
        <is>
          <t>標準外の要求による上乗せ分（現場負担）</t>
        </is>
      </c>
      <c r="C7" t="inlineStr">
        <is>
          <t>一部</t>
        </is>
      </c>
      <c r="D7" s="4" t="inlineStr">
        <is>
          <t>一部のみ移す</t>
        </is>
      </c>
      <c r="E7" t="inlineStr">
        <is>
          <t>未確認</t>
        </is>
      </c>
      <c r="F7" s="4" t="n"/>
      <c r="I7" t="inlineStr">
        <is>
          <t>請負</t>
        </is>
      </c>
      <c r="J7" s="4" t="n"/>
      <c r="K7" t="inlineStr">
        <is>
          <t>変更管理</t>
        </is>
      </c>
      <c r="L7" s="4" t="n"/>
      <c r="M7" t="inlineStr">
        <is>
          <t>委託先</t>
        </is>
      </c>
      <c r="N7" s="4" t="n"/>
      <c r="O7" t="inlineStr">
        <is>
          <t>月次</t>
        </is>
      </c>
      <c r="P7" s="4" t="n"/>
      <c r="S7" t="inlineStr">
        <is>
          <t>全社・社外も利用</t>
        </is>
      </c>
      <c r="U7" t="inlineStr">
        <is>
          <t>全社・社外も利用</t>
        </is>
      </c>
      <c r="W7" t="inlineStr">
        <is>
          <t>全社共用の基盤そのもの</t>
        </is>
      </c>
      <c r="Y7" t="inlineStr">
        <is>
          <t>ない</t>
        </is>
      </c>
      <c r="AA7" t="inlineStr">
        <is>
          <t>いない</t>
        </is>
      </c>
      <c r="AC7" t="inlineStr">
        <is>
          <t>自ら運用・開発</t>
        </is>
      </c>
    </row>
    <row r="8">
      <c r="C8" t="inlineStr">
        <is>
          <t>未定</t>
        </is>
      </c>
      <c r="D8" s="4" t="inlineStr">
        <is>
          <t>協議中</t>
        </is>
      </c>
      <c r="I8" t="inlineStr">
        <is>
          <t>準委任</t>
        </is>
      </c>
      <c r="J8" s="4" t="n"/>
      <c r="K8" t="inlineStr">
        <is>
          <t>リリース・更改</t>
        </is>
      </c>
      <c r="L8" s="4" t="n"/>
      <c r="M8" t="inlineStr">
        <is>
          <t>現場部門＋委託先</t>
        </is>
      </c>
      <c r="N8" s="4" t="n"/>
      <c r="O8" t="inlineStr">
        <is>
          <t>四半期</t>
        </is>
      </c>
      <c r="P8" s="4" t="n"/>
    </row>
    <row r="9">
      <c r="I9" t="inlineStr">
        <is>
          <t>派遣</t>
        </is>
      </c>
      <c r="J9" s="4" t="inlineStr">
        <is>
          <t>労働者派遣（派遣法）</t>
        </is>
      </c>
      <c r="K9" t="inlineStr">
        <is>
          <t>委託先管理</t>
        </is>
      </c>
      <c r="L9" s="4" t="n"/>
      <c r="M9" t="inlineStr">
        <is>
          <t>IT部門＋委託先</t>
        </is>
      </c>
      <c r="N9" s="4" t="n"/>
      <c r="O9" t="inlineStr">
        <is>
          <t>年次</t>
        </is>
      </c>
      <c r="P9" s="4" t="n"/>
    </row>
    <row r="10">
      <c r="I10" t="inlineStr">
        <is>
          <t>物品購入</t>
        </is>
      </c>
      <c r="J10" s="4" t="n"/>
      <c r="K10" t="inlineStr">
        <is>
          <t>データの登録・更新</t>
        </is>
      </c>
      <c r="L10" s="4" t="n"/>
      <c r="O10" t="inlineStr">
        <is>
          <t>随時</t>
        </is>
      </c>
      <c r="P10" s="4" t="n"/>
    </row>
    <row r="11">
      <c r="I11" t="inlineStr">
        <is>
          <t>その他</t>
        </is>
      </c>
      <c r="J11" s="4" t="n"/>
      <c r="K11" t="inlineStr">
        <is>
          <t>ユーザー管理</t>
        </is>
      </c>
      <c r="L11" s="4" t="n"/>
    </row>
    <row r="12">
      <c r="K12" t="inlineStr">
        <is>
          <t>教育</t>
        </is>
      </c>
      <c r="L12" s="4" t="n"/>
    </row>
    <row r="13">
      <c r="K13" t="inlineStr">
        <is>
          <t>監査・規制対応</t>
        </is>
      </c>
      <c r="L13" s="4" t="n"/>
    </row>
    <row r="14">
      <c r="K14" t="inlineStr">
        <is>
          <t>費用管理</t>
        </is>
      </c>
      <c r="L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2026-09-21T03:06:06Z</dcterms:created>
  <dcterms:modified xmlns:dcterms="http://purl.org/dc/terms/" xmlns:xsi="http://www.w3.org/2001/XMLSchema-instance" xsi:type="dcterms:W3CDTF">2026-09-21T08:02:39Z</dcterms:modified>
</cp:coreProperties>
</file>