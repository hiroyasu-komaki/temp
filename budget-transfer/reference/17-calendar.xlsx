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基準日" sheetId="2" state="visible" r:id="rId2"/>
    <sheet xmlns:r="http://schemas.openxmlformats.org/officeDocument/2006/relationships" name="カレンダー" sheetId="3" state="visible" r:id="rId3"/>
    <sheet xmlns:r="http://schemas.openxmlformats.org/officeDocument/2006/relationships" name="定期作業" sheetId="4" state="visible" r:id="rId4"/>
    <sheet xmlns:r="http://schemas.openxmlformats.org/officeDocument/2006/relationships" name="改訂履歴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Yu Gothic"/>
      <charset val="1"/>
      <family val="0"/>
      <b val="1"/>
      <color rgb="FF1C2B45"/>
      <sz val="14"/>
    </font>
    <font>
      <name val="Noto Sans CJK SC"/>
      <family val="2"/>
      <b val="1"/>
      <color rgb="FF1C2B45"/>
      <sz val="14"/>
    </font>
    <font>
      <name val="Noto Sans CJK SC"/>
      <family val="2"/>
      <b val="1"/>
      <sz val="10"/>
    </font>
    <font>
      <name val="Yu Gothic"/>
      <charset val="1"/>
      <family val="0"/>
      <sz val="10"/>
    </font>
    <font>
      <name val="Noto Sans CJK SC"/>
      <family val="2"/>
      <sz val="10"/>
    </font>
    <font>
      <name val="Noto Sans CJK SC"/>
      <family val="2"/>
      <color rgb="FF333F50"/>
      <sz val="9"/>
    </font>
    <font>
      <name val="Yu Gothic"/>
      <charset val="1"/>
      <family val="0"/>
      <color rgb="FF333F50"/>
      <sz val="9"/>
    </font>
    <font>
      <name val="Noto Sans CJK SC"/>
      <family val="2"/>
      <i val="1"/>
      <color rgb="FF7F7F7F"/>
      <sz val="10"/>
    </font>
    <font>
      <name val="Noto Sans CJK SC"/>
      <family val="2"/>
      <b val="1"/>
      <color rgb="FFFFFFFF"/>
      <sz val="10"/>
    </font>
    <font>
      <name val="Yu Gothic"/>
      <charset val="1"/>
      <family val="0"/>
      <b val="1"/>
      <color rgb="FFFFFFFF"/>
      <sz val="10"/>
    </font>
    <font>
      <name val="Yu Gothic"/>
      <charset val="1"/>
      <family val="0"/>
      <i val="1"/>
      <color rgb="FF7F7F7F"/>
      <sz val="10"/>
    </font>
    <font>
      <name val="Yu Gothic"/>
      <charset val="1"/>
      <family val="2"/>
      <color theme="1"/>
      <sz val="11"/>
    </font>
    <font>
      <name val="Yu Gothic"/>
      <family val="2"/>
      <b val="1"/>
      <sz val="10"/>
    </font>
    <font>
      <name val="Yu Gothic"/>
      <family val="2"/>
      <color rgb="FF333F50"/>
      <sz val="9"/>
    </font>
    <font>
      <name val="Yu Gothic"/>
      <family val="2"/>
      <sz val="10"/>
    </font>
    <font>
      <name val="Yu Gothic"/>
      <family val="2"/>
      <i val="1"/>
      <color rgb="FF7F7F7F"/>
      <sz val="10"/>
    </font>
    <font>
      <name val="Yu Gothic"/>
      <family val="2"/>
      <b val="1"/>
      <color rgb="FF1C2B45"/>
      <sz val="14"/>
    </font>
    <font>
      <name val="Yu Gothic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center" wrapText="1"/>
    </xf>
    <xf numFmtId="0" fontId="14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center" wrapText="1"/>
    </xf>
    <xf numFmtId="0" fontId="14" fillId="4" borderId="1" applyAlignment="1" pivotButton="0" quotePrefix="0" xfId="0">
      <alignment horizontal="general" vertical="top" wrapText="1"/>
    </xf>
    <xf numFmtId="0" fontId="11" fillId="4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5" fillId="0" borderId="0" pivotButton="0" quotePrefix="0" xfId="0"/>
    <xf numFmtId="0" fontId="16" fillId="2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5" borderId="1" applyAlignment="1" pivotButton="0" quotePrefix="0" xfId="0">
      <alignment horizontal="general" vertical="center" wrapText="1"/>
    </xf>
    <xf numFmtId="165" fontId="7" fillId="4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19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8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Yu Gothic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0" min="1" max="1"/>
    <col width="90" customWidth="1" style="20" min="2" max="2"/>
  </cols>
  <sheetData>
    <row r="1" ht="21.6" customHeight="1" s="21">
      <c r="A1" s="22" t="inlineStr">
        <is>
          <t>IT予算移管 年間カレンダー（2027年度）</t>
        </is>
      </c>
      <c r="B1" s="41" t="n"/>
    </row>
    <row r="2">
      <c r="A2" s="41" t="n"/>
      <c r="B2" s="41" t="n"/>
    </row>
    <row r="3" ht="15" customHeight="1" s="21">
      <c r="A3" s="42" t="inlineStr">
        <is>
          <t>文書番号</t>
        </is>
      </c>
      <c r="B3" s="24" t="inlineStr">
        <is>
          <t>BTR-F-17</t>
        </is>
      </c>
    </row>
    <row r="4" ht="15" customHeight="1" s="21">
      <c r="A4" s="42" t="inlineStr">
        <is>
          <t>版</t>
        </is>
      </c>
      <c r="B4" s="24" t="inlineStr">
        <is>
          <t>1.4</t>
        </is>
      </c>
    </row>
    <row r="5" ht="15" customHeight="1" s="21">
      <c r="A5" s="42" t="inlineStr">
        <is>
          <t>所管</t>
        </is>
      </c>
      <c r="B5" s="24" t="inlineStr">
        <is>
          <t>予算移管事務局</t>
        </is>
      </c>
    </row>
    <row r="6" ht="15" customHeight="1" s="21">
      <c r="A6" s="42" t="inlineStr">
        <is>
          <t>承認者</t>
        </is>
      </c>
      <c r="B6" s="24" t="inlineStr">
        <is>
          <t>IT部門長</t>
        </is>
      </c>
    </row>
    <row r="7" ht="15" customHeight="1" s="21">
      <c r="A7" s="42" t="inlineStr">
        <is>
          <t>最終改訂日</t>
        </is>
      </c>
      <c r="B7" s="24" t="inlineStr">
        <is>
          <t>2026-10-11</t>
        </is>
      </c>
    </row>
    <row r="8" ht="15" customHeight="1" s="21">
      <c r="A8" s="42" t="inlineStr">
        <is>
          <t>上位文書</t>
        </is>
      </c>
      <c r="B8" s="24" t="inlineStr">
        <is>
          <t>IT予算移管 憲章（BTR-R-02）</t>
        </is>
      </c>
    </row>
    <row r="9">
      <c r="A9" s="41" t="n"/>
      <c r="B9" s="41" t="n"/>
    </row>
    <row r="10" ht="15" customHeight="1" s="21">
      <c r="A10" s="43" t="inlineStr">
        <is>
          <t>使い方</t>
        </is>
      </c>
      <c r="B10" s="41" t="n"/>
    </row>
    <row r="11" ht="30" customHeight="1" s="21">
      <c r="A11" s="44" t="inlineStr">
        <is>
          <t>キックオフから一括移管までの締切と、定期作業の日程を管理する表。外部の基準日から逆算するイベントは「カレンダー」シートに、自らの決まりで実施日が決まる作業は「定期作業」シートに書く。</t>
        </is>
      </c>
    </row>
    <row r="12" ht="30" customHeight="1" s="21">
      <c r="A12" s="44" t="inlineStr">
        <is>
          <t>「基準日」シートに基準日を入力すると、「カレンダー」の日付が自動で計算される。基準日が（TBD）の間は「基準日なし」と表示される。</t>
        </is>
      </c>
    </row>
    <row r="13" ht="30" customHeight="1" s="21">
      <c r="A13" s="44" t="inlineStr">
        <is>
          <t>「基準日からの日数」はマイナスが前、プラスが後。暦日で数える（休日に当たった場合は曜日の列を見て手で調整する）。日数が未定の行は空欄にし、備考に（TBD）を書く。</t>
        </is>
      </c>
    </row>
    <row r="14" ht="30" customHeight="1" s="21">
      <c r="A14" s="27" t="inlineStr">
        <is>
          <t>Runbook には日付を書かず、このカレンダーの行（イベント名・作業名）を参照する。</t>
        </is>
      </c>
    </row>
    <row r="15">
      <c r="A15" s="41" t="n"/>
      <c r="B15" s="41" t="n"/>
    </row>
    <row r="16" ht="15" customHeight="1" s="21">
      <c r="A16" s="43" t="inlineStr">
        <is>
          <t>凡例</t>
        </is>
      </c>
      <c r="B16" s="41" t="n"/>
    </row>
    <row r="17" ht="15" customHeight="1" s="21">
      <c r="A17" s="45" t="inlineStr">
        <is>
          <t>黄色のセル</t>
        </is>
      </c>
      <c r="B17" s="46" t="inlineStr">
        <is>
          <t>入力するセル</t>
        </is>
      </c>
    </row>
    <row r="18" ht="15" customHeight="1" s="21">
      <c r="A18" s="47" t="inlineStr">
        <is>
          <t>（TBD: 〜）</t>
        </is>
      </c>
      <c r="B18" s="46" t="inlineStr">
        <is>
          <t>未確定事項。決定記録の保留課題に登録する</t>
        </is>
      </c>
    </row>
    <row r="19" ht="15" customHeight="1" s="21">
      <c r="A19" s="24" t="n"/>
      <c r="B19" s="46" t="n"/>
    </row>
    <row r="20" ht="15" customHeight="1" s="21">
      <c r="A20" s="46" t="n"/>
      <c r="B20" s="46" t="n"/>
    </row>
  </sheetData>
  <mergeCells count="4">
    <mergeCell ref="A13:B13"/>
    <mergeCell ref="A14:B14"/>
    <mergeCell ref="A11:B11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0" min="1" max="1"/>
    <col width="14" customWidth="1" style="20" min="2" max="2"/>
    <col width="40" customWidth="1" style="20" min="3" max="3"/>
  </cols>
  <sheetData>
    <row r="1" ht="17.35" customHeight="1" s="21">
      <c r="A1" s="48" t="inlineStr">
        <is>
          <t>基準日（年度ごとに入力）</t>
        </is>
      </c>
      <c r="B1" s="41" t="n"/>
      <c r="C1" s="41" t="n"/>
    </row>
    <row r="2">
      <c r="A2" s="41" t="n"/>
      <c r="B2" s="41" t="n"/>
      <c r="C2" s="41" t="n"/>
    </row>
    <row r="3" ht="15" customHeight="1" s="21">
      <c r="A3" s="49" t="inlineStr">
        <is>
          <t>基準イベント</t>
        </is>
      </c>
      <c r="B3" s="49" t="inlineStr">
        <is>
          <t>日付</t>
        </is>
      </c>
      <c r="C3" s="49" t="inlineStr">
        <is>
          <t>出典</t>
        </is>
      </c>
    </row>
    <row r="4" ht="15" customHeight="1" s="21">
      <c r="A4" s="33" t="inlineStr">
        <is>
          <t>キックオフ</t>
        </is>
      </c>
      <c r="B4" s="50" t="n">
        <v>46328</v>
      </c>
      <c r="C4" s="33" t="inlineStr">
        <is>
          <t>IT部門の決定（決定記録「決定事項」No.29）</t>
        </is>
      </c>
    </row>
    <row r="5" ht="15" customHeight="1" s="21">
      <c r="A5" s="33" t="inlineStr">
        <is>
          <t>一括移管の実施日</t>
        </is>
      </c>
      <c r="B5" s="50" t="n">
        <v>46388</v>
      </c>
      <c r="C5" s="33" t="inlineStr">
        <is>
          <t>IT部門の決定（決定記録「決定事項」No.18、憲章 第9条）</t>
        </is>
      </c>
    </row>
    <row r="6" ht="15" customHeight="1" s="21">
      <c r="A6" s="33" t="inlineStr">
        <is>
          <t>期初</t>
        </is>
      </c>
      <c r="B6" s="50" t="n">
        <v>46388</v>
      </c>
      <c r="C6" s="33" t="inlineStr">
        <is>
          <t>2027年度の開始（会計期間は1月開始）</t>
        </is>
      </c>
    </row>
    <row r="7" ht="15" customHeight="1" s="21">
      <c r="A7" s="33" t="inlineStr">
        <is>
          <t>移管の稟議の完了期限</t>
        </is>
      </c>
      <c r="B7" s="50" t="n">
        <v>46387</v>
      </c>
      <c r="C7" s="33" t="inlineStr">
        <is>
          <t>IT部門の決定（決定記録「決定事項」No.24）</t>
        </is>
      </c>
    </row>
    <row r="8" ht="15" customHeight="1" s="21">
      <c r="A8" s="33" t="n"/>
      <c r="B8" s="50" t="n"/>
      <c r="C8" s="33" t="n"/>
    </row>
    <row r="9" ht="15" customHeight="1" s="21">
      <c r="A9" s="33" t="n"/>
      <c r="B9" s="50" t="n"/>
      <c r="C9" s="33" t="n"/>
    </row>
    <row r="10">
      <c r="A10" s="33" t="n"/>
      <c r="B10" s="50" t="n"/>
      <c r="C10" s="33" t="n"/>
    </row>
    <row r="11">
      <c r="A11" s="33" t="n"/>
      <c r="B11" s="50" t="n"/>
      <c r="C11" s="33" t="n"/>
    </row>
    <row r="12">
      <c r="A12" s="33" t="n"/>
      <c r="B12" s="50" t="n"/>
      <c r="C12" s="33" t="n"/>
    </row>
    <row r="13">
      <c r="A13" s="33" t="n"/>
      <c r="B13" s="50" t="n"/>
      <c r="C13" s="33" t="n"/>
    </row>
    <row r="14">
      <c r="A14" s="33" t="n"/>
      <c r="B14" s="50" t="n"/>
      <c r="C14" s="33" t="n"/>
    </row>
    <row r="15">
      <c r="A15" s="33" t="n"/>
      <c r="B15" s="50" t="n"/>
      <c r="C15" s="33" t="n"/>
    </row>
    <row r="16">
      <c r="A16" s="33" t="n"/>
      <c r="B16" s="50" t="n"/>
      <c r="C16" s="33" t="n"/>
    </row>
    <row r="17">
      <c r="A17" s="33" t="n"/>
      <c r="B17" s="50" t="n"/>
      <c r="C17" s="33" t="n"/>
    </row>
    <row r="18">
      <c r="A18" s="33" t="n"/>
      <c r="B18" s="50" t="n"/>
      <c r="C18" s="33" t="n"/>
    </row>
    <row r="19">
      <c r="A19" s="33" t="n"/>
      <c r="B19" s="50" t="n"/>
      <c r="C19" s="33" t="n"/>
    </row>
    <row r="20">
      <c r="A20" s="33" t="n"/>
      <c r="B20" s="50" t="n"/>
      <c r="C20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30" customWidth="1" style="20" min="2" max="2"/>
    <col width="18" customWidth="1" style="20" min="3" max="3"/>
    <col width="24" customWidth="1" style="20" min="4" max="4"/>
    <col width="12" customWidth="1" style="20" min="5" max="6"/>
    <col width="6" customWidth="1" style="20" min="7" max="7"/>
    <col width="14" customWidth="1" style="20" min="8" max="8"/>
    <col width="22" customWidth="1" style="20" min="9" max="9"/>
    <col width="24" customWidth="1" style="20" min="10" max="10"/>
  </cols>
  <sheetData>
    <row r="1" ht="17.35" customHeight="1" s="21">
      <c r="A1" s="48" t="inlineStr">
        <is>
          <t>年間カレンダー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</row>
    <row r="3" ht="29.85" customHeight="1" s="21">
      <c r="A3" s="35" t="inlineStr">
        <is>
          <t>No.</t>
        </is>
      </c>
      <c r="B3" s="49" t="inlineStr">
        <is>
          <t>イベント</t>
        </is>
      </c>
      <c r="C3" s="49" t="inlineStr">
        <is>
          <t>実施者</t>
        </is>
      </c>
      <c r="D3" s="49" t="inlineStr">
        <is>
          <t>基準イベント</t>
        </is>
      </c>
      <c r="E3" s="49" t="inlineStr">
        <is>
          <t>基準日からの日数</t>
        </is>
      </c>
      <c r="F3" s="49" t="inlineStr">
        <is>
          <t>日付</t>
        </is>
      </c>
      <c r="G3" s="49" t="inlineStr">
        <is>
          <t>曜日</t>
        </is>
      </c>
      <c r="H3" s="49" t="inlineStr">
        <is>
          <t>担当</t>
        </is>
      </c>
      <c r="I3" s="49" t="inlineStr">
        <is>
          <t>関連手順</t>
        </is>
      </c>
      <c r="J3" s="49" t="inlineStr">
        <is>
          <t>備考</t>
        </is>
      </c>
    </row>
    <row r="4" ht="15" customHeight="1" s="21">
      <c r="A4" s="33" t="n">
        <v>1</v>
      </c>
      <c r="B4" s="33" t="inlineStr">
        <is>
          <t>ヒアリングの開始</t>
        </is>
      </c>
      <c r="C4" s="33" t="inlineStr">
        <is>
          <t>案件担当</t>
        </is>
      </c>
      <c r="D4" s="33" t="inlineStr">
        <is>
          <t>キックオフ</t>
        </is>
      </c>
      <c r="E4" s="33" t="n">
        <v>-32</v>
      </c>
      <c r="F4" s="38">
        <f>IF(OR(D4="",E4=""),"",IFERROR(INDEX(基準日!$B$4:$B$20,MATCH(D4,基準日!$A$4:$A$20,0))+E4,"基準日なし"))</f>
        <v/>
      </c>
      <c r="G4" s="53">
        <f>IF(ISNUMBER(F4),CHOOSE(WEEKDAY(F4),"日","月","火","水","木","金","土"),"")</f>
        <v/>
      </c>
      <c r="H4" s="33" t="inlineStr">
        <is>
          <t>進行役</t>
        </is>
      </c>
      <c r="I4" s="33" t="inlineStr">
        <is>
          <t>Runbook 案件担当編 §3.1</t>
        </is>
      </c>
      <c r="J4" s="33" t="inlineStr">
        <is>
          <t>2026-10-01。キックオフの前の事前の情報整理（決定記録「決定事項」No.33）</t>
        </is>
      </c>
    </row>
    <row r="5" ht="15" customHeight="1" s="21">
      <c r="A5" s="33" t="n">
        <v>2</v>
      </c>
      <c r="B5" s="33" t="inlineStr">
        <is>
          <t>引継ぎ要領の確定の期限</t>
        </is>
      </c>
      <c r="C5" s="33" t="inlineStr">
        <is>
          <t>進行役</t>
        </is>
      </c>
      <c r="D5" s="33" t="inlineStr">
        <is>
          <t>キックオフ</t>
        </is>
      </c>
      <c r="E5" s="33" t="n">
        <v>-3</v>
      </c>
      <c r="F5" s="38">
        <f>IF(OR(D5="",E5=""),"",IFERROR(INDEX(基準日!$B$4:$B$20,MATCH(D5,基準日!$A$4:$A$20,0))+E5,"基準日なし"))</f>
        <v/>
      </c>
      <c r="G5" s="53">
        <f>IF(ISNUMBER(F5),CHOOSE(WEEKDAY(F5),"日","月","火","水","木","金","土"),"")</f>
        <v/>
      </c>
      <c r="H5" s="33" t="inlineStr">
        <is>
          <t>進行役</t>
        </is>
      </c>
      <c r="I5" s="33" t="inlineStr">
        <is>
          <t>Runbook 進行役編 §3.3</t>
        </is>
      </c>
      <c r="J5" s="33" t="inlineStr">
        <is>
          <t>2026-10-30。予算移管の開始条件（キックオフまでに確定させる。決定事項 No.42）</t>
        </is>
      </c>
    </row>
    <row r="6" ht="15" customHeight="1" s="21">
      <c r="A6" s="33" t="n">
        <v>3</v>
      </c>
      <c r="B6" s="33" t="inlineStr">
        <is>
          <t>ヒアリングの終了</t>
        </is>
      </c>
      <c r="C6" s="33" t="inlineStr">
        <is>
          <t>案件担当</t>
        </is>
      </c>
      <c r="D6" s="33" t="inlineStr">
        <is>
          <t>キックオフ</t>
        </is>
      </c>
      <c r="E6" s="33" t="n">
        <v>-2</v>
      </c>
      <c r="F6" s="38">
        <f>IF(OR(D6="",E6=""),"",IFERROR(INDEX(基準日!$B$4:$B$20,MATCH(D6,基準日!$A$4:$A$20,0))+E6,"基準日なし"))</f>
        <v/>
      </c>
      <c r="G6" s="53">
        <f>IF(ISNUMBER(F6),CHOOSE(WEEKDAY(F6),"日","月","火","水","木","金","土"),"")</f>
        <v/>
      </c>
      <c r="H6" s="33" t="inlineStr">
        <is>
          <t>進行役</t>
        </is>
      </c>
      <c r="I6" s="33" t="inlineStr">
        <is>
          <t>Runbook 案件担当編 §3.1・§3.2</t>
        </is>
      </c>
      <c r="J6" s="33" t="inlineStr">
        <is>
          <t>2026-10-31</t>
        </is>
      </c>
    </row>
    <row r="7" ht="15" customHeight="1" s="21">
      <c r="A7" s="33" t="n">
        <v>4</v>
      </c>
      <c r="B7" s="33" t="inlineStr">
        <is>
          <t>キックオフ</t>
        </is>
      </c>
      <c r="C7" s="33" t="inlineStr">
        <is>
          <t>予算移管事務局</t>
        </is>
      </c>
      <c r="D7" s="33" t="inlineStr">
        <is>
          <t>キックオフ</t>
        </is>
      </c>
      <c r="E7" s="33" t="n">
        <v>0</v>
      </c>
      <c r="F7" s="38">
        <f>IF(OR(D7="",E7=""),"",IFERROR(INDEX(基準日!$B$4:$B$20,MATCH(D7,基準日!$A$4:$A$20,0))+E7,"基準日なし"))</f>
        <v/>
      </c>
      <c r="G7" s="53">
        <f>IF(ISNUMBER(F7),CHOOSE(WEEKDAY(F7),"日","月","火","水","木","金","土"),"")</f>
        <v/>
      </c>
      <c r="H7" s="33" t="inlineStr">
        <is>
          <t>進行役</t>
        </is>
      </c>
      <c r="I7" s="33" t="inlineStr">
        <is>
          <t>Runbook 進行役編 §3.1</t>
        </is>
      </c>
      <c r="J7" s="33" t="n"/>
    </row>
    <row r="8" ht="15" customHeight="1" s="21">
      <c r="A8" s="33" t="n">
        <v>5</v>
      </c>
      <c r="B8" s="33" t="inlineStr">
        <is>
          <t>合意の期限</t>
        </is>
      </c>
      <c r="C8" s="33" t="inlineStr">
        <is>
          <t>移管元の責任者、IT部門長</t>
        </is>
      </c>
      <c r="D8" s="33" t="inlineStr">
        <is>
          <t>移管の稟議の完了期限</t>
        </is>
      </c>
      <c r="E8" s="33" t="n">
        <v>-20</v>
      </c>
      <c r="F8" s="38">
        <f>IF(OR(D8="",E8=""),"",IFERROR(INDEX(基準日!$B$4:$B$20,MATCH(D8,基準日!$A$4:$A$20,0))+E8,"基準日なし"))</f>
        <v/>
      </c>
      <c r="G8" s="53">
        <f>IF(ISNUMBER(F8),CHOOSE(WEEKDAY(F8),"日","月","火","水","木","金","土"),"")</f>
        <v/>
      </c>
      <c r="H8" s="33" t="inlineStr">
        <is>
          <t>進行役</t>
        </is>
      </c>
      <c r="I8" s="33" t="inlineStr">
        <is>
          <t>Runbook 案件担当編 §3.4・§3.5</t>
        </is>
      </c>
      <c r="J8" s="33" t="inlineStr">
        <is>
          <t>12月第2週の金曜日（決定事項 No.34）。合意文書（引継ぎ、IT関連業務の扱い、経過措置）の承認の期限。部門の確認（棚卸し）はこれに間に合うように済ませる</t>
        </is>
      </c>
    </row>
    <row r="9" ht="15" customHeight="1" s="21">
      <c r="A9" s="33" t="n">
        <v>6</v>
      </c>
      <c r="B9" s="33" t="inlineStr">
        <is>
          <t>準備完了の確認の期限</t>
        </is>
      </c>
      <c r="C9" s="33" t="inlineStr">
        <is>
          <t>案件担当</t>
        </is>
      </c>
      <c r="D9" s="33" t="inlineStr">
        <is>
          <t>一括移管の実施日</t>
        </is>
      </c>
      <c r="E9" s="33" t="n">
        <v>-14</v>
      </c>
      <c r="F9" s="38">
        <f>IF(OR(D9="",E9=""),"",IFERROR(INDEX(基準日!$B$4:$B$20,MATCH(D9,基準日!$A$4:$A$20,0))+E9,"基準日なし"))</f>
        <v/>
      </c>
      <c r="G9" s="53">
        <f>IF(ISNUMBER(F9),CHOOSE(WEEKDAY(F9),"日","月","火","水","木","金","土"),"")</f>
        <v/>
      </c>
      <c r="H9" s="33" t="inlineStr">
        <is>
          <t>進行役</t>
        </is>
      </c>
      <c r="I9" s="33" t="inlineStr">
        <is>
          <t>Runbook 案件担当編 §3.7・§3.8</t>
        </is>
      </c>
      <c r="J9" s="33" t="inlineStr">
        <is>
          <t>12月第3週の金曜日（決定事項 No.34）</t>
        </is>
      </c>
    </row>
    <row r="10" ht="15" customHeight="1" s="21">
      <c r="A10" s="33" t="n">
        <v>7</v>
      </c>
      <c r="B10" s="33" t="inlineStr">
        <is>
          <t>移管の稟議の完了期限</t>
        </is>
      </c>
      <c r="C10" s="33" t="inlineStr">
        <is>
          <t>移管元の部門長、IT部門長</t>
        </is>
      </c>
      <c r="D10" s="33" t="inlineStr">
        <is>
          <t>移管の稟議の完了期限</t>
        </is>
      </c>
      <c r="E10" s="33" t="n">
        <v>0</v>
      </c>
      <c r="F10" s="38">
        <f>IF(OR(D10="",E10=""),"",IFERROR(INDEX(基準日!$B$4:$B$20,MATCH(D10,基準日!$A$4:$A$20,0))+E10,"基準日なし"))</f>
        <v/>
      </c>
      <c r="G10" s="53">
        <f>IF(ISNUMBER(F10),CHOOSE(WEEKDAY(F10),"日","月","火","水","木","金","土"),"")</f>
        <v/>
      </c>
      <c r="H10" s="33" t="inlineStr">
        <is>
          <t>進行役</t>
        </is>
      </c>
      <c r="I10" s="33" t="inlineStr">
        <is>
          <t>Runbook 進行役編 §3.4</t>
        </is>
      </c>
      <c r="J10" s="33" t="inlineStr">
        <is>
          <t>12月末のゴール（Runbook 全体編 §1.3）</t>
        </is>
      </c>
    </row>
    <row r="11" ht="15" customHeight="1" s="21">
      <c r="A11" s="33" t="n">
        <v>8</v>
      </c>
      <c r="B11" s="33" t="inlineStr">
        <is>
          <t>一括移管の実施日</t>
        </is>
      </c>
      <c r="C11" s="33" t="inlineStr">
        <is>
          <t>—</t>
        </is>
      </c>
      <c r="D11" s="33" t="inlineStr">
        <is>
          <t>一括移管の実施日</t>
        </is>
      </c>
      <c r="E11" s="33" t="n">
        <v>0</v>
      </c>
      <c r="F11" s="38">
        <f>IF(OR(D11="",E11=""),"",IFERROR(INDEX(基準日!$B$4:$B$20,MATCH(D11,基準日!$A$4:$A$20,0))+E11,"基準日なし"))</f>
        <v/>
      </c>
      <c r="G11" s="53">
        <f>IF(ISNUMBER(F11),CHOOSE(WEEKDAY(F11),"日","月","火","水","木","金","土"),"")</f>
        <v/>
      </c>
      <c r="H11" s="33" t="inlineStr">
        <is>
          <t>進行役</t>
        </is>
      </c>
      <c r="I11" s="33" t="inlineStr">
        <is>
          <t>—（移管の稟議の承認の後。案件担当の作業はない）</t>
        </is>
      </c>
      <c r="J11" s="33" t="inlineStr">
        <is>
          <t>請求書の宛名の変更は、ベンダーマネジメント担当が2月初旬（1月度の請求）までに各相手先に連絡する（移管の後の作業）</t>
        </is>
      </c>
    </row>
    <row r="12" ht="15" customHeight="1" s="21">
      <c r="A12" s="33" t="n"/>
      <c r="B12" s="33" t="n"/>
      <c r="C12" s="33" t="n"/>
      <c r="D12" s="33" t="n"/>
      <c r="E12" s="33" t="n"/>
      <c r="F12" s="38" t="n"/>
      <c r="G12" s="53" t="n"/>
      <c r="H12" s="33" t="n"/>
      <c r="I12" s="33" t="n"/>
      <c r="J12" s="33" t="n"/>
    </row>
    <row r="13" ht="15" customHeight="1" s="21">
      <c r="A13" s="33" t="n"/>
      <c r="B13" s="33" t="n"/>
      <c r="C13" s="33" t="n"/>
      <c r="D13" s="33" t="n"/>
      <c r="E13" s="33" t="n"/>
      <c r="F13" s="38" t="n"/>
      <c r="G13" s="53" t="n"/>
      <c r="H13" s="33" t="n"/>
      <c r="I13" s="33" t="n"/>
      <c r="J13" s="33" t="n"/>
    </row>
    <row r="14" ht="15" customHeight="1" s="21"/>
    <row r="15" ht="15" customHeight="1" s="21"/>
    <row r="16" ht="15" customHeight="1" s="21"/>
    <row r="17" ht="15" customHeight="1" s="21"/>
    <row r="18" ht="15" customHeight="1" s="21"/>
    <row r="19" ht="15" customHeight="1" s="21"/>
    <row r="20" ht="15" customHeight="1" s="21"/>
    <row r="21" ht="15" customHeight="1" s="21"/>
    <row r="22" ht="15" customHeight="1" s="21"/>
    <row r="23" ht="15" customHeight="1" s="21"/>
    <row r="24" ht="15" customHeight="1" s="21"/>
    <row r="25" ht="15" customHeight="1" s="21"/>
    <row r="26" ht="15" customHeight="1" s="21"/>
    <row r="27" ht="15" customHeight="1" s="21"/>
    <row r="28" ht="15" customHeight="1" s="21"/>
    <row r="29" ht="15" customHeight="1" s="21"/>
    <row r="30" ht="15" customHeight="1" s="21"/>
    <row r="31" ht="15" customHeight="1" s="21"/>
    <row r="32" ht="15" customHeight="1" s="21"/>
    <row r="33" ht="15" customHeight="1" s="21"/>
  </sheetData>
  <conditionalFormatting sqref="G4:G33">
    <cfRule type="expression" rank="0" priority="2" equalAverage="0" aboveAverage="0" dxfId="0" text="" percent="0" bottom="0">
      <formula>OR(G4="土",G4="日")</formula>
    </cfRule>
  </conditionalFormatting>
  <dataValidations count="1">
    <dataValidation sqref="D4:D33" showDropDown="0" showInputMessage="0" showErrorMessage="0" allowBlank="1" type="list" errorStyle="stop" operator="between">
      <formula1>基準日!$A$4:$A$20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21" min="1" max="1"/>
    <col width="34" customWidth="1" style="21" min="2" max="2"/>
    <col width="16" customWidth="1" style="21" min="3" max="3"/>
    <col width="10" customWidth="1" style="21" min="4" max="4"/>
    <col width="40" customWidth="1" style="21" min="5" max="5"/>
    <col width="16" customWidth="1" style="21" min="6" max="6"/>
    <col width="24" customWidth="1" style="21" min="7" max="7"/>
  </cols>
  <sheetData>
    <row r="1" ht="17.35" customHeight="1" s="21">
      <c r="A1" s="48" t="inlineStr">
        <is>
          <t>定期作業</t>
        </is>
      </c>
      <c r="B1" s="41" t="n"/>
      <c r="C1" s="41" t="n"/>
      <c r="D1" s="41" t="n"/>
      <c r="E1" s="41" t="n"/>
      <c r="F1" s="41" t="n"/>
      <c r="G1" s="41" t="n"/>
    </row>
    <row r="2">
      <c r="A2" s="41" t="n"/>
      <c r="B2" s="41" t="n"/>
      <c r="C2" s="41" t="n"/>
      <c r="D2" s="41" t="n"/>
      <c r="E2" s="41" t="n"/>
      <c r="F2" s="41" t="n"/>
      <c r="G2" s="41" t="n"/>
    </row>
    <row r="3">
      <c r="A3" s="49" t="inlineStr">
        <is>
          <t>No.</t>
        </is>
      </c>
      <c r="B3" s="49" t="inlineStr">
        <is>
          <t>作業</t>
        </is>
      </c>
      <c r="C3" s="49" t="inlineStr">
        <is>
          <t>担当</t>
        </is>
      </c>
      <c r="D3" s="49" t="inlineStr">
        <is>
          <t>周期</t>
        </is>
      </c>
      <c r="E3" s="49" t="inlineStr">
        <is>
          <t>実施日の決め方</t>
        </is>
      </c>
      <c r="F3" s="49" t="inlineStr">
        <is>
          <t>関連手順</t>
        </is>
      </c>
      <c r="G3" s="49" t="inlineStr">
        <is>
          <t>備考</t>
        </is>
      </c>
    </row>
    <row r="4">
      <c r="A4" s="33" t="n">
        <v>1</v>
      </c>
      <c r="B4" s="33" t="inlineStr">
        <is>
          <t>移管ステータスの確認（案件担当による見直しを含む）</t>
        </is>
      </c>
      <c r="C4" s="33" t="inlineStr">
        <is>
          <t>進行役</t>
        </is>
      </c>
      <c r="D4" s="33" t="inlineStr">
        <is>
          <t>毎日（案件担当が移管ステータスを随時更新する）</t>
        </is>
      </c>
      <c r="E4" s="33" t="inlineStr">
        <is>
          <t>進行役が毎日、予算一覧を確かめる。部門の案件の移管ステータスが埋まったら移管の稟議を起票する</t>
        </is>
      </c>
      <c r="F4" s="33" t="inlineStr">
        <is>
          <t>Runbook 進行役編 §3.6、案件担当編 §3.10</t>
        </is>
      </c>
      <c r="G4" s="33" t="inlineStr">
        <is>
          <t>ヒアリングの開始から移管の稟議の承認まで</t>
        </is>
      </c>
    </row>
    <row r="5">
      <c r="A5" s="33" t="n">
        <v>2</v>
      </c>
      <c r="B5" s="33" t="inlineStr">
        <is>
          <t>進捗のまとめ</t>
        </is>
      </c>
      <c r="C5" s="33" t="inlineStr">
        <is>
          <t>進行役</t>
        </is>
      </c>
      <c r="D5" s="33" t="inlineStr">
        <is>
          <t>随時</t>
        </is>
      </c>
      <c r="E5" s="33" t="inlineStr">
        <is>
          <t>IT部門長に求められたとき、移管の稟議が承認されたとき</t>
        </is>
      </c>
      <c r="F5" s="33" t="inlineStr">
        <is>
          <t>Runbook 進行役編 §3.7</t>
        </is>
      </c>
      <c r="G5" s="33" t="n"/>
    </row>
    <row r="6">
      <c r="A6" s="33" t="n"/>
      <c r="B6" s="33" t="n"/>
      <c r="C6" s="33" t="n"/>
      <c r="D6" s="33" t="n"/>
      <c r="E6" s="33" t="n"/>
      <c r="F6" s="33" t="n"/>
      <c r="G6" s="33" t="n"/>
    </row>
  </sheetData>
  <dataValidations count="1">
    <dataValidation sqref="D4:D33" showDropDown="0" showInputMessage="0" showErrorMessage="0" allowBlank="1" type="list">
      <formula1>"毎月,四半期,半期,年1回,その他"</formula1>
    </dataValidation>
  </dataValidation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0" min="1" max="1"/>
    <col width="14" customWidth="1" style="20" min="2" max="2"/>
    <col width="60" customWidth="1" style="20" min="3" max="3"/>
    <col width="16" customWidth="1" style="20" min="4" max="5"/>
  </cols>
  <sheetData>
    <row r="1" ht="17.35" customHeight="1" s="21">
      <c r="A1" s="48" t="inlineStr">
        <is>
          <t>改訂履歴</t>
        </is>
      </c>
      <c r="B1" s="41" t="n"/>
      <c r="C1" s="41" t="n"/>
      <c r="D1" s="41" t="n"/>
      <c r="E1" s="41" t="n"/>
    </row>
    <row r="2">
      <c r="A2" s="41" t="n"/>
      <c r="B2" s="41" t="n"/>
      <c r="C2" s="41" t="n"/>
      <c r="D2" s="41" t="n"/>
      <c r="E2" s="41" t="n"/>
    </row>
    <row r="3" ht="15" customHeight="1" s="21">
      <c r="A3" s="49" t="inlineStr">
        <is>
          <t>版</t>
        </is>
      </c>
      <c r="B3" s="49" t="inlineStr">
        <is>
          <t>日付</t>
        </is>
      </c>
      <c r="C3" s="49" t="inlineStr">
        <is>
          <t>改訂内容</t>
        </is>
      </c>
      <c r="D3" s="49" t="inlineStr">
        <is>
          <t>改訂者</t>
        </is>
      </c>
      <c r="E3" s="49" t="inlineStr">
        <is>
          <t>承認者</t>
        </is>
      </c>
    </row>
    <row r="4" ht="15" customHeight="1" s="21">
      <c r="A4" s="33" t="inlineStr">
        <is>
          <t>1.0</t>
        </is>
      </c>
      <c r="B4" s="50" t="n">
        <v>46306</v>
      </c>
      <c r="C4" s="55" t="inlineStr">
        <is>
          <t>制定（承認前の案）</t>
        </is>
      </c>
      <c r="D4" s="33" t="inlineStr">
        <is>
          <t>予算移管事務局</t>
        </is>
      </c>
      <c r="E4" s="33" t="n"/>
    </row>
    <row r="5" ht="15" customHeight="1" s="21">
      <c r="A5" s="33" t="inlineStr">
        <is>
          <t>1.1</t>
        </is>
      </c>
      <c r="B5" s="50" t="n">
        <v>46306</v>
      </c>
      <c r="C5" s="55" t="inlineStr">
        <is>
          <t>ヒアリング（10/1〜10/31。キックオフの前）、移管時期の合意の期限（12/11）、準備完了の確認の期限（12/18）を入れた。予算シートの共有の期限を外し、棚卸しの結果の承認の期限を足した</t>
        </is>
      </c>
      <c r="D5" s="33" t="inlineStr">
        <is>
          <t>予算移管事務局</t>
        </is>
      </c>
      <c r="E5" s="33" t="n"/>
    </row>
    <row r="6" ht="15" customHeight="1" s="21">
      <c r="A6" s="33" t="inlineStr">
        <is>
          <t>1.2</t>
        </is>
      </c>
      <c r="B6" s="50" t="n">
        <v>46306</v>
      </c>
      <c r="C6" s="55" t="inlineStr">
        <is>
          <t>棚卸しの結果の承認の期限を削除した（承認を廃止したため）。引継ぎ要領の確定の期限をキックオフの前（2026-10-30）とし、予算移管の開始条件とした</t>
        </is>
      </c>
      <c r="D6" s="33" t="inlineStr">
        <is>
          <t>予算移管事務局</t>
        </is>
      </c>
      <c r="E6" s="33" t="n"/>
    </row>
    <row r="7" ht="15" customHeight="1" s="21">
      <c r="A7" s="33" t="inlineStr">
        <is>
          <t>1.3</t>
        </is>
      </c>
      <c r="B7" s="50" t="n">
        <v>46306</v>
      </c>
      <c r="C7" s="55" t="inlineStr">
        <is>
          <t>定期作業の移管ステータスの確認を毎日、進捗のまとめを随時とし、経営層への報告を削除した。一括移管の実施日の案件担当の作業（移管の完了の記録）をなくした</t>
        </is>
      </c>
      <c r="D7" s="33" t="inlineStr">
        <is>
          <t>予算移管事務局</t>
        </is>
      </c>
      <c r="E7" s="33" t="n"/>
    </row>
    <row r="8" ht="15" customHeight="1" s="21">
      <c r="A8" s="33" t="inlineStr">
        <is>
          <t>1.4</t>
        </is>
      </c>
      <c r="B8" s="50" t="n">
        <v>46307</v>
      </c>
      <c r="C8" s="55" t="inlineStr">
        <is>
          <t>「移管時期の合意の期限」を「合意の期限」に改めた（移管時期は全て一括のため）</t>
        </is>
      </c>
      <c r="D8" s="33" t="inlineStr">
        <is>
          <t>予算移管事務局</t>
        </is>
      </c>
      <c r="E8" s="33" t="n"/>
    </row>
    <row r="9" ht="15" customHeight="1" s="21">
      <c r="A9" s="33" t="n"/>
      <c r="B9" s="33" t="n"/>
      <c r="C9" s="33" t="n"/>
      <c r="D9" s="33" t="n"/>
      <c r="E9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2026-09-29T22:34:21Z</dcterms:created>
  <dcterms:modified xmlns:dcterms="http://purl.org/dc/terms/" xmlns:xsi="http://www.w3.org/2001/XMLSchema-instance" xsi:type="dcterms:W3CDTF">2026-10-12T04:27:38Z</dcterms:modified>
  <cp:revision>0</cp:revision>
</cp:coreProperties>
</file>