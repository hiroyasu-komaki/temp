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使い方" sheetId="1" state="visible" r:id="rId1"/>
    <sheet xmlns:r="http://schemas.openxmlformats.org/officeDocument/2006/relationships" name="決定事項" sheetId="2" state="visible" r:id="rId2"/>
    <sheet xmlns:r="http://schemas.openxmlformats.org/officeDocument/2006/relationships" name="保留課題" sheetId="3" state="visible" r:id="rId3"/>
    <sheet xmlns:r="http://schemas.openxmlformats.org/officeDocument/2006/relationships" name="確認依頼" sheetId="4" state="visible" r:id="rId4"/>
    <sheet xmlns:r="http://schemas.openxmlformats.org/officeDocument/2006/relationships" name="集計" sheetId="5" state="visible" r:id="rId5"/>
    <sheet xmlns:r="http://schemas.openxmlformats.org/officeDocument/2006/relationships" name="改訂履歴"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22">
    <font>
      <name val="Calibri"/>
      <charset val="1"/>
      <family val="2"/>
      <color theme="1"/>
      <sz val="11"/>
    </font>
    <font>
      <name val="Arial"/>
      <family val="0"/>
      <sz val="10"/>
    </font>
    <font>
      <name val="Arial"/>
      <family val="0"/>
      <sz val="10"/>
    </font>
    <font>
      <name val="Arial"/>
      <family val="0"/>
      <sz val="10"/>
    </font>
    <font>
      <name val="Yu Gothic"/>
      <charset val="1"/>
      <family val="0"/>
      <b val="1"/>
      <color rgb="FF1C2B45"/>
      <sz val="14"/>
    </font>
    <font>
      <name val="Noto Sans CJK SC"/>
      <family val="2"/>
      <b val="1"/>
      <color rgb="FF1C2B45"/>
      <sz val="14"/>
    </font>
    <font>
      <name val="Noto Sans CJK SC"/>
      <family val="2"/>
      <b val="1"/>
      <sz val="10"/>
    </font>
    <font>
      <name val="Yu Gothic"/>
      <charset val="1"/>
      <family val="0"/>
      <sz val="10"/>
    </font>
    <font>
      <name val="Noto Sans CJK SC"/>
      <family val="2"/>
      <sz val="10"/>
    </font>
    <font>
      <name val="Noto Sans CJK SC"/>
      <family val="2"/>
      <color rgb="FF333F50"/>
      <sz val="9"/>
    </font>
    <font>
      <name val="Yu Gothic"/>
      <charset val="1"/>
      <family val="0"/>
      <color rgb="FF333F50"/>
      <sz val="9"/>
    </font>
    <font>
      <name val="Noto Sans CJK SC"/>
      <family val="2"/>
      <i val="1"/>
      <color rgb="FF7F7F7F"/>
      <sz val="10"/>
    </font>
    <font>
      <name val="Yu Gothic"/>
      <charset val="1"/>
      <family val="0"/>
      <b val="1"/>
      <color rgb="FFFFFFFF"/>
      <sz val="10"/>
    </font>
    <font>
      <name val="Noto Sans CJK SC"/>
      <family val="2"/>
      <b val="1"/>
      <color rgb="FFFFFFFF"/>
      <sz val="10"/>
    </font>
    <font>
      <name val="Yu Gothic"/>
      <charset val="1"/>
      <family val="0"/>
      <i val="1"/>
      <color rgb="FF7F7F7F"/>
      <sz val="10"/>
    </font>
    <font>
      <name val="Yu Gothic"/>
      <charset val="1"/>
      <family val="2"/>
      <color theme="1"/>
      <sz val="11"/>
    </font>
    <font>
      <name val="Yu Gothic"/>
      <family val="2"/>
      <b val="1"/>
      <sz val="10"/>
    </font>
    <font>
      <name val="Yu Gothic"/>
      <family val="2"/>
      <color rgb="FF333F50"/>
      <sz val="9"/>
    </font>
    <font>
      <name val="Yu Gothic"/>
      <family val="2"/>
      <sz val="10"/>
    </font>
    <font>
      <name val="Yu Gothic"/>
      <family val="2"/>
      <i val="1"/>
      <color rgb="FF7F7F7F"/>
      <sz val="10"/>
    </font>
    <font>
      <name val="Yu Gothic"/>
      <family val="2"/>
      <b val="1"/>
      <color rgb="FF1C2B45"/>
      <sz val="14"/>
    </font>
    <font>
      <name val="Yu Gothic"/>
      <family val="2"/>
      <b val="1"/>
      <color rgb="FFFFFFFF"/>
      <sz val="10"/>
    </font>
  </fonts>
  <fills count="6">
    <fill>
      <patternFill/>
    </fill>
    <fill>
      <patternFill patternType="gray125"/>
    </fill>
    <fill>
      <patternFill patternType="solid">
        <fgColor rgb="FFF4F6F9"/>
        <bgColor rgb="FFEAF1F8"/>
      </patternFill>
    </fill>
    <fill>
      <patternFill patternType="solid">
        <fgColor rgb="FFEAF1F8"/>
        <bgColor rgb="FFF4F6F9"/>
      </patternFill>
    </fill>
    <fill>
      <patternFill patternType="solid">
        <fgColor rgb="FFFFF9DB"/>
        <bgColor rgb="FFF4F6F9"/>
      </patternFill>
    </fill>
    <fill>
      <patternFill patternType="solid">
        <fgColor rgb="FF1C2B45"/>
        <bgColor rgb="FF333F5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0" fontId="6" fillId="0" borderId="0" applyAlignment="1" pivotButton="0" quotePrefix="0" xfId="0">
      <alignment horizontal="general" vertical="bottom"/>
    </xf>
    <xf numFmtId="0" fontId="9" fillId="3" borderId="0" applyAlignment="1" pivotButton="0" quotePrefix="0" xfId="0">
      <alignment horizontal="general" vertical="top" wrapText="1"/>
    </xf>
    <xf numFmtId="0" fontId="8" fillId="4" borderId="1" applyAlignment="1" pivotButton="0" quotePrefix="0" xfId="0">
      <alignment horizontal="general" vertical="bottom"/>
    </xf>
    <xf numFmtId="0" fontId="8" fillId="0" borderId="1" applyAlignment="1" pivotButton="0" quotePrefix="0" xfId="0">
      <alignment horizontal="general" vertical="bottom"/>
    </xf>
    <xf numFmtId="0" fontId="11" fillId="0" borderId="1" applyAlignment="1" pivotButton="0" quotePrefix="0" xfId="0">
      <alignment horizontal="general" vertical="bottom"/>
    </xf>
    <xf numFmtId="0" fontId="5" fillId="0" borderId="0" applyAlignment="1" pivotButton="0" quotePrefix="0" xfId="0">
      <alignment horizontal="general" vertical="bottom"/>
    </xf>
    <xf numFmtId="0" fontId="12" fillId="5" borderId="1" applyAlignment="1" pivotButton="0" quotePrefix="0" xfId="0">
      <alignment horizontal="general" vertical="center" wrapText="1"/>
    </xf>
    <xf numFmtId="0" fontId="13" fillId="5" borderId="1" applyAlignment="1" pivotButton="0" quotePrefix="0" xfId="0">
      <alignment horizontal="general" vertical="center" wrapText="1"/>
    </xf>
    <xf numFmtId="0" fontId="11"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7" fillId="4"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0" fontId="6" fillId="0" borderId="0" applyAlignment="1" pivotButton="0" quotePrefix="0" xfId="0">
      <alignment horizontal="general" vertical="bottom"/>
    </xf>
    <xf numFmtId="0" fontId="9" fillId="3" borderId="0" applyAlignment="1" pivotButton="0" quotePrefix="0" xfId="0">
      <alignment horizontal="general" vertical="top" wrapText="1"/>
    </xf>
    <xf numFmtId="0" fontId="8" fillId="4" borderId="1" applyAlignment="1" pivotButton="0" quotePrefix="0" xfId="0">
      <alignment horizontal="general" vertical="bottom"/>
    </xf>
    <xf numFmtId="0" fontId="8" fillId="0" borderId="1" applyAlignment="1" pivotButton="0" quotePrefix="0" xfId="0">
      <alignment horizontal="general" vertical="bottom"/>
    </xf>
    <xf numFmtId="0" fontId="11" fillId="0" borderId="1" applyAlignment="1" pivotButton="0" quotePrefix="0" xfId="0">
      <alignment horizontal="general" vertical="bottom"/>
    </xf>
    <xf numFmtId="0" fontId="5" fillId="0" borderId="0" applyAlignment="1" pivotButton="0" quotePrefix="0" xfId="0">
      <alignment horizontal="general" vertical="bottom"/>
    </xf>
    <xf numFmtId="0" fontId="12" fillId="5" borderId="1" applyAlignment="1" pivotButton="0" quotePrefix="0" xfId="0">
      <alignment horizontal="general" vertical="center" wrapText="1"/>
    </xf>
    <xf numFmtId="0" fontId="13" fillId="5" borderId="1" applyAlignment="1" pivotButton="0" quotePrefix="0" xfId="0">
      <alignment horizontal="general" vertical="center" wrapText="1"/>
    </xf>
    <xf numFmtId="0" fontId="11"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7" fillId="4"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15" fillId="0" borderId="0" pivotButton="0" quotePrefix="0" xfId="0"/>
    <xf numFmtId="0" fontId="16" fillId="2" borderId="1" applyAlignment="1" pivotButton="0" quotePrefix="0" xfId="0">
      <alignment horizontal="general" vertical="bottom"/>
    </xf>
    <xf numFmtId="0" fontId="16" fillId="0" borderId="0" applyAlignment="1" pivotButton="0" quotePrefix="0" xfId="0">
      <alignment horizontal="general" vertical="bottom"/>
    </xf>
    <xf numFmtId="0" fontId="17" fillId="3" borderId="0" applyAlignment="1" pivotButton="0" quotePrefix="0" xfId="0">
      <alignment horizontal="general" vertical="top" wrapText="1"/>
    </xf>
    <xf numFmtId="0" fontId="18" fillId="4" borderId="1" applyAlignment="1" pivotButton="0" quotePrefix="0" xfId="0">
      <alignment horizontal="general" vertical="bottom"/>
    </xf>
    <xf numFmtId="0" fontId="18" fillId="0" borderId="1" applyAlignment="1" pivotButton="0" quotePrefix="0" xfId="0">
      <alignment horizontal="general" vertical="bottom"/>
    </xf>
    <xf numFmtId="0" fontId="19" fillId="0" borderId="1" applyAlignment="1" pivotButton="0" quotePrefix="0" xfId="0">
      <alignment horizontal="general" vertical="bottom"/>
    </xf>
    <xf numFmtId="0" fontId="20" fillId="0" borderId="0" applyAlignment="1" pivotButton="0" quotePrefix="0" xfId="0">
      <alignment horizontal="general" vertical="bottom"/>
    </xf>
    <xf numFmtId="0" fontId="21" fillId="5" borderId="1" applyAlignment="1" pivotButton="0" quotePrefix="0" xfId="0">
      <alignment horizontal="general" vertical="center" wrapText="1"/>
    </xf>
    <xf numFmtId="0" fontId="19" fillId="0" borderId="1" applyAlignment="1" pivotButton="0" quotePrefix="0" xfId="0">
      <alignment horizontal="general" vertical="top" wrapText="1"/>
    </xf>
    <xf numFmtId="164" fontId="14" fillId="0" borderId="1" applyAlignment="1" pivotButton="0" quotePrefix="0" xfId="0">
      <alignment horizontal="general" vertical="top" wrapText="1"/>
    </xf>
    <xf numFmtId="164" fontId="7" fillId="4" borderId="1" applyAlignment="1" pivotButton="0" quotePrefix="0" xfId="0">
      <alignment horizontal="general" vertical="top" wrapText="1"/>
    </xf>
    <xf numFmtId="164" fontId="19" fillId="0" borderId="1" applyAlignment="1" pivotButton="0" quotePrefix="0" xfId="0">
      <alignment horizontal="general" vertical="top" wrapText="1"/>
    </xf>
    <xf numFmtId="0" fontId="18" fillId="0" borderId="1" applyAlignment="1" pivotButton="0" quotePrefix="0" xfId="0">
      <alignment horizontal="general" vertical="top" wrapText="1"/>
    </xf>
    <xf numFmtId="0" fontId="1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ill>
        <patternFill>
          <bgColor rgb="FFFD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DB"/>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6F9"/>
      <rgbColor rgb="FFCCFFCC"/>
      <rgbColor rgb="FFFFFF99"/>
      <rgbColor rgb="FF99CCFF"/>
      <rgbColor rgb="FFFF99CC"/>
      <rgbColor rgb="FFCC99FF"/>
      <rgbColor rgb="FFFDE2E2"/>
      <rgbColor rgb="FF3366FF"/>
      <rgbColor rgb="FF33CCCC"/>
      <rgbColor rgb="FF99CC00"/>
      <rgbColor rgb="FFFFCC00"/>
      <rgbColor rgb="FFFF9900"/>
      <rgbColor rgb="FFFF6600"/>
      <rgbColor rgb="FF666699"/>
      <rgbColor rgb="FF969696"/>
      <rgbColor rgb="FF1C2B45"/>
      <rgbColor rgb="FF339966"/>
      <rgbColor rgb="FF003300"/>
      <rgbColor rgb="FF333300"/>
      <rgbColor rgb="FF993300"/>
      <rgbColor rgb="FF993366"/>
      <rgbColor rgb="FF333399"/>
      <rgbColor rgb="FF333F5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7" min="1" max="1"/>
    <col width="90" customWidth="1" style="17" min="2" max="2"/>
  </cols>
  <sheetData>
    <row r="1" ht="21.6" customHeight="1" s="18">
      <c r="A1" s="19" t="inlineStr">
        <is>
          <t>IT予算移管 決定記録</t>
        </is>
      </c>
      <c r="B1" s="35" t="n"/>
    </row>
    <row r="2">
      <c r="A2" s="35" t="n"/>
      <c r="B2" s="35" t="n"/>
    </row>
    <row r="3" ht="15" customHeight="1" s="18">
      <c r="A3" s="36" t="inlineStr">
        <is>
          <t>文書番号</t>
        </is>
      </c>
      <c r="B3" s="21" t="inlineStr">
        <is>
          <t>BTR-F-15</t>
        </is>
      </c>
    </row>
    <row r="4" ht="15" customHeight="1" s="18">
      <c r="A4" s="36" t="inlineStr">
        <is>
          <t>版</t>
        </is>
      </c>
      <c r="B4" s="21" t="inlineStr">
        <is>
          <t>1.6</t>
        </is>
      </c>
    </row>
    <row r="5" ht="15" customHeight="1" s="18">
      <c r="A5" s="36" t="inlineStr">
        <is>
          <t>所管</t>
        </is>
      </c>
      <c r="B5" s="21" t="inlineStr">
        <is>
          <t>予算移管事務局</t>
        </is>
      </c>
    </row>
    <row r="6" ht="15" customHeight="1" s="18">
      <c r="A6" s="36" t="inlineStr">
        <is>
          <t>承認者</t>
        </is>
      </c>
      <c r="B6" s="21" t="inlineStr">
        <is>
          <t>IT部門長</t>
        </is>
      </c>
    </row>
    <row r="7" ht="15" customHeight="1" s="18">
      <c r="A7" s="36" t="inlineStr">
        <is>
          <t>最終改訂日</t>
        </is>
      </c>
      <c r="B7" s="21" t="inlineStr">
        <is>
          <t>2026-10-12</t>
        </is>
      </c>
    </row>
    <row r="8" ht="15" customHeight="1" s="18">
      <c r="A8" s="36" t="inlineStr">
        <is>
          <t>上位文書</t>
        </is>
      </c>
      <c r="B8" s="21" t="inlineStr">
        <is>
          <t>IT予算移管 憲章（BTR-R-02）</t>
        </is>
      </c>
    </row>
    <row r="9">
      <c r="A9" s="35" t="n"/>
      <c r="B9" s="35" t="n"/>
    </row>
    <row r="10" ht="15" customHeight="1" s="18">
      <c r="A10" s="37" t="inlineStr">
        <is>
          <t>使い方</t>
        </is>
      </c>
      <c r="B10" s="35" t="n"/>
    </row>
    <row r="11" ht="30" customHeight="1" s="18">
      <c r="A11" s="38" t="inlineStr">
        <is>
          <t>決定者の決定、予算移管事務局が扱った判断、立ち上げ時の決めごと、未確定事項（TBD）を記録する台帳。「なぜそう決めたか」を後から説明できるようにするために残す。</t>
        </is>
      </c>
    </row>
    <row r="12" ht="30" customHeight="1" s="18">
      <c r="A12" s="38" t="inlineStr">
        <is>
          <t>文書中の（TBD: 〜）はすべて「保留課題」シートに登録する。確定期限と担当を決めてから登録する。</t>
        </is>
      </c>
    </row>
    <row r="13" ht="30" customHeight="1" s="18">
      <c r="A13" s="38" t="inlineStr">
        <is>
          <t>IT部門長の決定（確認依頼への回答など）は、1行に要約してここへ登録する。</t>
        </is>
      </c>
    </row>
    <row r="14" ht="30" customHeight="1" s="18">
      <c r="A14" s="38" t="inlineStr">
        <is>
          <t>立ち上げ時の決めごと（選んだ機能の型とその理由、作る文書）も「決定事項」シートに登録する。案件IDの欄は「—」とする。</t>
        </is>
      </c>
    </row>
    <row r="15" ht="30" customHeight="1" s="18">
      <c r="A15" s="38" t="inlineStr">
        <is>
          <t>「集計」シートは状態ごとの件数を自動で数える。進捗のまとめ（Runbook 進行役編 §3.7）で保留課題の件数を報告し、TBDの放置を防ぐ。</t>
        </is>
      </c>
    </row>
    <row r="16" ht="15" customHeight="1" s="18">
      <c r="A16" s="37" t="inlineStr">
        <is>
          <t>凡例</t>
        </is>
      </c>
      <c r="B16" s="35" t="n"/>
    </row>
    <row r="17" ht="15" customHeight="1" s="18">
      <c r="A17" s="39" t="inlineStr">
        <is>
          <t>黄色のセル</t>
        </is>
      </c>
      <c r="B17" s="40" t="inlineStr">
        <is>
          <t>入力するセル</t>
        </is>
      </c>
    </row>
    <row r="18" ht="15" customHeight="1" s="18">
      <c r="A18" s="41" t="inlineStr">
        <is>
          <t>（TBD: 〜）</t>
        </is>
      </c>
      <c r="B18" s="40" t="inlineStr">
        <is>
          <t>未確定事項。決定記録の保留課題に登録する</t>
        </is>
      </c>
    </row>
    <row r="19" ht="15" customHeight="1" s="18">
      <c r="A19" s="21" t="n"/>
      <c r="B19" s="40" t="n"/>
    </row>
    <row r="20" ht="15" customHeight="1" s="18">
      <c r="A20" s="40" t="n"/>
      <c r="B20" s="40" t="n"/>
    </row>
  </sheetData>
  <mergeCells count="5">
    <mergeCell ref="A15:B15"/>
    <mergeCell ref="A11:B11"/>
    <mergeCell ref="A13:B13"/>
    <mergeCell ref="A14:B14"/>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5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7" min="1" max="1"/>
    <col width="12" customWidth="1" style="17" min="2" max="2"/>
    <col width="16" customWidth="1" style="17" min="3" max="3"/>
    <col width="14" customWidth="1" style="17" min="4" max="4"/>
    <col width="40" customWidth="1" style="17" min="5" max="5"/>
    <col width="14" customWidth="1" style="17" min="6" max="6"/>
    <col width="36" customWidth="1" style="17" min="7" max="7"/>
    <col width="28" customWidth="1" style="17" min="8" max="8"/>
    <col width="22" customWidth="1" style="17" min="9" max="9"/>
    <col width="12" customWidth="1" style="17" min="10" max="10"/>
  </cols>
  <sheetData>
    <row r="1" ht="17.35" customHeight="1" s="18">
      <c r="A1" s="42" t="inlineStr">
        <is>
          <t>決定事項</t>
        </is>
      </c>
      <c r="B1" s="35" t="n"/>
      <c r="C1" s="35" t="n"/>
      <c r="D1" s="35" t="n"/>
      <c r="E1" s="35" t="n"/>
      <c r="F1" s="35" t="n"/>
      <c r="G1" s="35" t="n"/>
      <c r="H1" s="35" t="n"/>
      <c r="I1" s="35" t="n"/>
      <c r="J1" s="35" t="n"/>
    </row>
    <row r="2">
      <c r="A2" s="35" t="n"/>
      <c r="B2" s="35" t="n"/>
      <c r="C2" s="35" t="n"/>
      <c r="D2" s="35" t="n"/>
      <c r="E2" s="35" t="n"/>
      <c r="F2" s="35" t="n"/>
      <c r="G2" s="35" t="n"/>
      <c r="H2" s="35" t="n"/>
      <c r="I2" s="35" t="n"/>
      <c r="J2" s="35" t="n"/>
    </row>
    <row r="3" ht="15" customHeight="1" s="18">
      <c r="A3" s="28" t="inlineStr">
        <is>
          <t>No.</t>
        </is>
      </c>
      <c r="B3" s="43" t="inlineStr">
        <is>
          <t>日付</t>
        </is>
      </c>
      <c r="C3" s="43" t="inlineStr">
        <is>
          <t>会議体・決定者</t>
        </is>
      </c>
      <c r="D3" s="43" t="inlineStr">
        <is>
          <t>案件ID</t>
        </is>
      </c>
      <c r="E3" s="43" t="inlineStr">
        <is>
          <t>決定内容</t>
        </is>
      </c>
      <c r="F3" s="43" t="inlineStr">
        <is>
          <t>判断区分</t>
        </is>
      </c>
      <c r="G3" s="43" t="inlineStr">
        <is>
          <t>理由</t>
        </is>
      </c>
      <c r="H3" s="43" t="inlineStr">
        <is>
          <t>条件</t>
        </is>
      </c>
      <c r="I3" s="43" t="inlineStr">
        <is>
          <t>影響する文書</t>
        </is>
      </c>
      <c r="J3" s="43" t="inlineStr">
        <is>
          <t>記録者</t>
        </is>
      </c>
    </row>
    <row r="4" ht="23.85" customHeight="1" s="18">
      <c r="A4" s="32" t="n">
        <v>1</v>
      </c>
      <c r="B4" s="46" t="n"/>
      <c r="C4" s="32" t="inlineStr">
        <is>
          <t>経営層</t>
        </is>
      </c>
      <c r="D4" s="32" t="inlineStr">
        <is>
          <t>—</t>
        </is>
      </c>
      <c r="E4" s="32" t="inlineStr">
        <is>
          <t>2027年度の予算編成から、移管対象部門のIT予算をIT部門に移管する</t>
        </is>
      </c>
      <c r="F4" s="32" t="inlineStr">
        <is>
          <t>決定</t>
        </is>
      </c>
      <c r="G4" s="32" t="inlineStr">
        <is>
          <t>経営層の決定（文書名は保留課題 No.1）</t>
        </is>
      </c>
      <c r="H4" s="32" t="n"/>
      <c r="I4" s="32" t="inlineStr">
        <is>
          <t>憲章 第1条・第4条</t>
        </is>
      </c>
      <c r="J4" s="32" t="inlineStr">
        <is>
          <t>予算移管事務局</t>
        </is>
      </c>
    </row>
    <row r="5" ht="23.85" customHeight="1" s="18">
      <c r="A5" s="32" t="n">
        <v>2</v>
      </c>
      <c r="B5" s="46" t="n">
        <v>46306</v>
      </c>
      <c r="C5" s="32" t="inlineStr">
        <is>
          <t>IT部門</t>
        </is>
      </c>
      <c r="D5" s="32" t="inlineStr">
        <is>
          <t>—</t>
        </is>
      </c>
      <c r="E5" s="32" t="inlineStr">
        <is>
          <t>移管対象部門では、システムに関する予算・契約と、契約に基づく間接業務を全て移管する。外部性・共通性・契約期間で移管するかどうかを変えない</t>
        </is>
      </c>
      <c r="F5" s="32" t="inlineStr">
        <is>
          <t>決定</t>
        </is>
      </c>
      <c r="G5" s="32" t="inlineStr">
        <is>
          <t>移管の判断を持ち込まない。決裁権の配分は新しいITガバナンス（Tier）で行う</t>
        </is>
      </c>
      <c r="H5" s="32" t="inlineStr">
        <is>
          <t>見直す条件: 新しいITガバナンスの決裁権の判定の順番が変わったとき</t>
        </is>
      </c>
      <c r="I5" s="32" t="inlineStr">
        <is>
          <t>憲章 第8条</t>
        </is>
      </c>
      <c r="J5" s="32" t="inlineStr">
        <is>
          <t>予算移管事務局</t>
        </is>
      </c>
    </row>
    <row r="6" ht="23.85" customHeight="1" s="18">
      <c r="A6" s="32" t="n">
        <v>3</v>
      </c>
      <c r="B6" s="46" t="n">
        <v>46306</v>
      </c>
      <c r="C6" s="32" t="inlineStr">
        <is>
          <t>IT部門</t>
        </is>
      </c>
      <c r="D6" s="32" t="inlineStr">
        <is>
          <t>—</t>
        </is>
      </c>
      <c r="E6" s="32" t="inlineStr">
        <is>
          <t>一括移管を原則とし、一括移管に間に合わない契約・間接業務だけ、個別に時期を決めて移管する</t>
        </is>
      </c>
      <c r="F6" s="32" t="inlineStr">
        <is>
          <t>決定</t>
        </is>
      </c>
      <c r="G6" s="32" t="inlineStr">
        <is>
          <t>例外を明示して管理する</t>
        </is>
      </c>
      <c r="H6" s="32" t="n"/>
      <c r="I6" s="32" t="inlineStr">
        <is>
          <t>憲章 第9条</t>
        </is>
      </c>
      <c r="J6" s="32" t="inlineStr">
        <is>
          <t>予算移管事務局</t>
        </is>
      </c>
    </row>
    <row r="7" ht="15" customHeight="1" s="18">
      <c r="A7" s="32" t="n">
        <v>4</v>
      </c>
      <c r="B7" s="46" t="n">
        <v>46306</v>
      </c>
      <c r="C7" s="32" t="inlineStr">
        <is>
          <t>IT部門</t>
        </is>
      </c>
      <c r="D7" s="32" t="inlineStr">
        <is>
          <t>—</t>
        </is>
      </c>
      <c r="E7" s="32" t="inlineStr">
        <is>
          <t>外部性で移管を判定し、外部性の低いものを留保とする方式（2026-09-21版の手順書）を廃止する</t>
        </is>
      </c>
      <c r="F7" s="32" t="inlineStr">
        <is>
          <t>決定</t>
        </is>
      </c>
      <c r="G7" s="32" t="inlineStr">
        <is>
          <t>決定事項 No.2 による</t>
        </is>
      </c>
      <c r="H7" s="32" t="n"/>
      <c r="I7" s="32" t="inlineStr">
        <is>
          <t>用語集 §5</t>
        </is>
      </c>
      <c r="J7" s="32" t="inlineStr">
        <is>
          <t>予算移管事務局</t>
        </is>
      </c>
    </row>
    <row r="8" ht="15" customHeight="1" s="18">
      <c r="A8" s="32" t="n">
        <v>5</v>
      </c>
      <c r="B8" s="46" t="n">
        <v>46306</v>
      </c>
      <c r="C8" s="32" t="inlineStr">
        <is>
          <t>IT部門</t>
        </is>
      </c>
      <c r="D8" s="32" t="inlineStr">
        <is>
          <t>—</t>
        </is>
      </c>
      <c r="E8" s="32" t="inlineStr">
        <is>
          <t>投資予算と経費予算が混在する案件は、予算一覧の行を分ける</t>
        </is>
      </c>
      <c r="F8" s="32" t="inlineStr">
        <is>
          <t>決定</t>
        </is>
      </c>
      <c r="G8" s="32" t="inlineStr">
        <is>
          <t>投資予算は継続する間接業務を伴わず、経費予算は契約と間接業務を伴うため、移管の扱いが違う</t>
        </is>
      </c>
      <c r="H8" s="32" t="n"/>
      <c r="I8" s="32" t="inlineStr">
        <is>
          <t>憲章 第8条第2項</t>
        </is>
      </c>
      <c r="J8" s="32" t="inlineStr">
        <is>
          <t>予算移管事務局</t>
        </is>
      </c>
    </row>
    <row r="9" ht="15" customHeight="1" s="18">
      <c r="A9" s="32" t="n">
        <v>6</v>
      </c>
      <c r="B9" s="46" t="n">
        <v>46306</v>
      </c>
      <c r="C9" s="32" t="inlineStr">
        <is>
          <t>IT部門</t>
        </is>
      </c>
      <c r="D9" s="32" t="inlineStr">
        <is>
          <t>—</t>
        </is>
      </c>
      <c r="E9" s="32" t="inlineStr">
        <is>
          <t>予算移管の後も、ビジネスオーナーシップは移管対象部門に残る</t>
        </is>
      </c>
      <c r="F9" s="32" t="inlineStr">
        <is>
          <t>決定</t>
        </is>
      </c>
      <c r="G9" s="32" t="inlineStr">
        <is>
          <t>予算の所在が変わっても、要否・目的・効果と業務要件を決めるのは移管対象部門である</t>
        </is>
      </c>
      <c r="H9" s="32" t="n"/>
      <c r="I9" s="32" t="inlineStr">
        <is>
          <t>憲章 第7条</t>
        </is>
      </c>
      <c r="J9" s="32" t="inlineStr">
        <is>
          <t>予算移管事務局</t>
        </is>
      </c>
    </row>
    <row r="10" ht="15" customHeight="1" s="18">
      <c r="A10" s="32" t="n">
        <v>7</v>
      </c>
      <c r="B10" s="46" t="n">
        <v>46306</v>
      </c>
      <c r="C10" s="32" t="inlineStr">
        <is>
          <t>IT部門</t>
        </is>
      </c>
      <c r="D10" s="32" t="inlineStr">
        <is>
          <t>—</t>
        </is>
      </c>
      <c r="E10" s="32" t="inlineStr">
        <is>
          <t>キックオフを2026-11-01に開催する</t>
        </is>
      </c>
      <c r="F10" s="32" t="inlineStr">
        <is>
          <t>決定</t>
        </is>
      </c>
      <c r="G10" s="32" t="inlineStr">
        <is>
          <t>—</t>
        </is>
      </c>
      <c r="H10" s="32" t="n"/>
      <c r="I10" s="32" t="inlineStr">
        <is>
          <t>年間カレンダー「基準日」</t>
        </is>
      </c>
      <c r="J10" s="32" t="inlineStr">
        <is>
          <t>予算移管事務局</t>
        </is>
      </c>
    </row>
    <row r="11" ht="15" customHeight="1" s="18">
      <c r="A11" s="32" t="n">
        <v>8</v>
      </c>
      <c r="B11" s="46" t="n">
        <v>46306</v>
      </c>
      <c r="C11" s="32" t="inlineStr">
        <is>
          <t>IT部門</t>
        </is>
      </c>
      <c r="D11" s="32" t="inlineStr">
        <is>
          <t>—</t>
        </is>
      </c>
      <c r="E11" s="32" t="inlineStr">
        <is>
          <t>キックオフでは移管の背景を説明せず、実務（範囲・進め方・お願いすること）だけを説明する</t>
        </is>
      </c>
      <c r="F11" s="32" t="inlineStr">
        <is>
          <t>決定</t>
        </is>
      </c>
      <c r="G11" s="32" t="inlineStr">
        <is>
          <t>移管は経営層が決定済みのため</t>
        </is>
      </c>
      <c r="H11" s="32" t="n"/>
      <c r="I11" s="32" t="inlineStr">
        <is>
          <t>移管対象部門ガイド</t>
        </is>
      </c>
      <c r="J11" s="32" t="inlineStr">
        <is>
          <t>予算移管事務局</t>
        </is>
      </c>
    </row>
    <row r="12" ht="15" customHeight="1" s="18">
      <c r="A12" s="32" t="n">
        <v>9</v>
      </c>
      <c r="B12" s="46" t="n">
        <v>46306</v>
      </c>
      <c r="C12" s="32" t="inlineStr">
        <is>
          <t>IT部門</t>
        </is>
      </c>
      <c r="D12" s="32" t="inlineStr">
        <is>
          <t>—</t>
        </is>
      </c>
      <c r="E12" s="32" t="inlineStr">
        <is>
          <t>旧版のキックオフ資料（budget_transfer_kickoff.pptx）を廃止し、移管対象部門ガイド（BTR-F-12）で説明する</t>
        </is>
      </c>
      <c r="F12" s="32" t="inlineStr">
        <is>
          <t>決定</t>
        </is>
      </c>
      <c r="G12" s="32" t="inlineStr">
        <is>
          <t>旧方針（外部性で判定し、留保がある）の説明だったため</t>
        </is>
      </c>
      <c r="H12" s="32" t="n"/>
      <c r="I12" s="32" t="inlineStr">
        <is>
          <t>移管対象部門ガイド</t>
        </is>
      </c>
      <c r="J12" s="32" t="inlineStr">
        <is>
          <t>予算移管事務局</t>
        </is>
      </c>
    </row>
    <row r="13" ht="15" customHeight="1" s="18">
      <c r="A13" s="32" t="n">
        <v>10</v>
      </c>
      <c r="B13" s="46" t="n">
        <v>46306</v>
      </c>
      <c r="C13" s="32" t="inlineStr">
        <is>
          <t>IT部門</t>
        </is>
      </c>
      <c r="D13" s="32" t="inlineStr">
        <is>
          <t>—</t>
        </is>
      </c>
      <c r="E13" s="32" t="inlineStr">
        <is>
          <t>キックオフの後は、予算一覧の移管ステータスで進捗をモニタリングする</t>
        </is>
      </c>
      <c r="F13" s="32" t="inlineStr">
        <is>
          <t>決定</t>
        </is>
      </c>
      <c r="G13" s="32" t="inlineStr">
        <is>
          <t>一括移管まで、案件ごとの進み具合を1か所で見るため</t>
        </is>
      </c>
      <c r="H13" s="32" t="n"/>
      <c r="I13" s="32" t="inlineStr">
        <is>
          <t>憲章 第10条、Runbook 進行役編 §3.6・§3.7</t>
        </is>
      </c>
      <c r="J13" s="32" t="inlineStr">
        <is>
          <t>予算移管事務局</t>
        </is>
      </c>
    </row>
    <row r="14" ht="15" customHeight="1" s="18">
      <c r="A14" s="32" t="n">
        <v>11</v>
      </c>
      <c r="B14" s="46" t="n">
        <v>46306</v>
      </c>
      <c r="C14" s="32" t="inlineStr">
        <is>
          <t>IT部門</t>
        </is>
      </c>
      <c r="D14" s="32" t="inlineStr">
        <is>
          <t>—</t>
        </is>
      </c>
      <c r="E14" s="32" t="inlineStr">
        <is>
          <t>文書番号の接頭辞を BTR、運営主体を予算移管事務局、承認者をIT部門長、施行日を2026-11-01、見直し周期を予算編成後に1回とする</t>
        </is>
      </c>
      <c r="F14" s="32" t="inlineStr">
        <is>
          <t>決定</t>
        </is>
      </c>
      <c r="G14" s="32" t="inlineStr">
        <is>
          <t>README §5 の変数の値</t>
        </is>
      </c>
      <c r="H14" s="32" t="n"/>
      <c r="I14" s="32" t="inlineStr">
        <is>
          <t>全文書</t>
        </is>
      </c>
      <c r="J14" s="32" t="inlineStr">
        <is>
          <t>予算移管事務局</t>
        </is>
      </c>
    </row>
    <row r="15" ht="15" customHeight="1" s="18">
      <c r="A15" s="32" t="n">
        <v>12</v>
      </c>
      <c r="B15" s="46" t="n">
        <v>46306</v>
      </c>
      <c r="C15" s="32" t="inlineStr">
        <is>
          <t>IT部門長</t>
        </is>
      </c>
      <c r="D15" s="32" t="inlineStr">
        <is>
          <t>—</t>
        </is>
      </c>
      <c r="E15" s="32" t="inlineStr">
        <is>
          <t>機能の型を C 定常運用型とする</t>
        </is>
      </c>
      <c r="F15" s="32" t="inlineStr">
        <is>
          <t>決定</t>
        </is>
      </c>
      <c r="G15" s="32" t="inlineStr">
        <is>
          <t>移管するかどうかは経営層の決定と憲章の基準で決まり、キックオフの後は予算一覧の移管ステータスを定期的に更新して一括移管まで進めるため。A 決定・承認型は採らない（会議体で可否を決める事項がない）。B 依頼・提供型は採らない（依頼・相談をきっかけに動かない）。D 定期評価・統制型は採らない（点検と証跡を残すことが目的ではない）</t>
        </is>
      </c>
      <c r="H15" s="32" t="inlineStr">
        <is>
          <t>見直す条件: 個別移管の決定を会議体で行うことになったとき（確認依頼 No.1）</t>
        </is>
      </c>
      <c r="I15" s="32" t="inlineStr">
        <is>
          <t>憲章 第4条</t>
        </is>
      </c>
      <c r="J15" s="32" t="inlineStr">
        <is>
          <t>予算移管事務局</t>
        </is>
      </c>
    </row>
    <row r="16" ht="15" customHeight="1" s="18">
      <c r="A16" s="32" t="n">
        <v>13</v>
      </c>
      <c r="B16" s="46" t="n">
        <v>46306</v>
      </c>
      <c r="C16" s="32" t="inlineStr">
        <is>
          <t>IT部門長</t>
        </is>
      </c>
      <c r="D16" s="32" t="inlineStr">
        <is>
          <t>—</t>
        </is>
      </c>
      <c r="E16" s="32" t="inlineStr">
        <is>
          <t>初期セットを、憲章・業務フロー定義・Runbook・準備完了チェック・移管対象部門ガイド・用語集・決定記録・年間カレンダーの8文書とする</t>
        </is>
      </c>
      <c r="F16" s="32" t="inlineStr">
        <is>
          <t>決定</t>
        </is>
      </c>
      <c r="G16" s="32" t="inlineStr">
        <is>
          <t>必須の5文書と、C型で推奨のチェックリスト・年間カレンダーに加え、キックオフの説明資料として任意の利用者ガイドを作る。C型で推奨の文書は全て作る</t>
        </is>
      </c>
      <c r="H16" s="32" t="inlineStr">
        <is>
          <t>見直す条件: 同じ問い合わせが2回以上来たとき（FAQ）、例外の判断が3回繰り返されたとき（Playbook）（確認依頼 No.2）</t>
        </is>
      </c>
      <c r="I16" s="32" t="inlineStr">
        <is>
          <t>—</t>
        </is>
      </c>
      <c r="J16" s="32" t="inlineStr">
        <is>
          <t>予算移管事務局</t>
        </is>
      </c>
    </row>
    <row r="17" ht="15" customHeight="1" s="18">
      <c r="A17" s="32" t="n">
        <v>14</v>
      </c>
      <c r="B17" s="46" t="n">
        <v>46306</v>
      </c>
      <c r="C17" s="32" t="inlineStr">
        <is>
          <t>IT部門長</t>
        </is>
      </c>
      <c r="D17" s="32" t="inlineStr">
        <is>
          <t>—</t>
        </is>
      </c>
      <c r="E17" s="32" t="inlineStr">
        <is>
          <t>運用基準を作らず、移管の判定の基準を憲章 第8条〜第10条に置く</t>
        </is>
      </c>
      <c r="F17" s="32" t="inlineStr">
        <is>
          <t>決定</t>
        </is>
      </c>
      <c r="G17" s="32" t="inlineStr">
        <is>
          <t>判定の基準が少なく、運用基準の承認者も憲章と同じIT部門長のため</t>
        </is>
      </c>
      <c r="H17" s="32" t="inlineStr">
        <is>
          <t>見直す条件: 判定の基準が増えたとき（確認依頼 No.3）</t>
        </is>
      </c>
      <c r="I17" s="32" t="inlineStr">
        <is>
          <t>憲章 第8条〜第10条</t>
        </is>
      </c>
      <c r="J17" s="32" t="inlineStr">
        <is>
          <t>予算移管事務局</t>
        </is>
      </c>
    </row>
    <row r="18" ht="15" customHeight="1" s="18">
      <c r="A18" s="32" t="n">
        <v>15</v>
      </c>
      <c r="B18" s="46" t="n">
        <v>46306</v>
      </c>
      <c r="C18" s="32" t="inlineStr">
        <is>
          <t>IT部門長</t>
        </is>
      </c>
      <c r="D18" s="32" t="inlineStr">
        <is>
          <t>—</t>
        </is>
      </c>
      <c r="E18" s="32" t="inlineStr">
        <is>
          <t>会議体を置かない</t>
        </is>
      </c>
      <c r="F18" s="32" t="inlineStr">
        <is>
          <t>決定</t>
        </is>
      </c>
      <c r="G18" s="32" t="inlineStr">
        <is>
          <t>移管することは決定済みで、移管の扱いは基準で決まり、個別移管はIT部門長が決めるため</t>
        </is>
      </c>
      <c r="H18" s="32" t="inlineStr">
        <is>
          <t>見直す条件: 個別移管の決定に部門をまたぐ合意が必要になったとき（確認依頼 No.10）</t>
        </is>
      </c>
      <c r="I18" s="32" t="inlineStr">
        <is>
          <t>憲章 第13条・第14条</t>
        </is>
      </c>
      <c r="J18" s="32" t="inlineStr">
        <is>
          <t>予算移管事務局</t>
        </is>
      </c>
    </row>
    <row r="19" ht="15" customHeight="1" s="18">
      <c r="A19" s="32" t="n">
        <v>16</v>
      </c>
      <c r="B19" s="46" t="n">
        <v>46306</v>
      </c>
      <c r="C19" s="32" t="inlineStr">
        <is>
          <t>IT部門</t>
        </is>
      </c>
      <c r="D19" s="32" t="inlineStr">
        <is>
          <t>—</t>
        </is>
      </c>
      <c r="E19" s="32" t="inlineStr">
        <is>
          <t>移管するのは、予算・契約と、契約に基づく間接業務とする。契約の前提となる直接業務は、組織のミッション・業務分掌・職務権限に基づき、移管対象部門が従前どおり担う。分担は全ての案件で同じとし、案件ごとに変えない</t>
        </is>
      </c>
      <c r="F19" s="32" t="inlineStr">
        <is>
          <t>決定</t>
        </is>
      </c>
      <c r="G19" s="32" t="inlineStr">
        <is>
          <t>予算を移管しても、IT部門が各部門の本来の業務を行うのではない（例: 営業部門の予算を移管しても、IT部門は営業活動をしない）</t>
        </is>
      </c>
      <c r="H19" s="32" t="n"/>
      <c r="I19" s="32" t="inlineStr">
        <is>
          <t>憲章 第4条・第5条・第7条・第8条・第11条、業務フロー定義 RACI（3）</t>
        </is>
      </c>
      <c r="J19" s="32" t="inlineStr">
        <is>
          <t>予算移管事務局</t>
        </is>
      </c>
    </row>
    <row r="20" ht="15" customHeight="1" s="18">
      <c r="A20" s="32" t="n">
        <v>17</v>
      </c>
      <c r="B20" s="46" t="n">
        <v>46306</v>
      </c>
      <c r="C20" s="32" t="inlineStr">
        <is>
          <t>IT部門長</t>
        </is>
      </c>
      <c r="D20" s="32" t="inlineStr">
        <is>
          <t>—</t>
        </is>
      </c>
      <c r="E20" s="32" t="inlineStr">
        <is>
          <t>移管の方法「要員ごと移管」と、個別移管の理由「要員の異動」を廃止する</t>
        </is>
      </c>
      <c r="F20" s="32" t="inlineStr">
        <is>
          <t>決定</t>
        </is>
      </c>
      <c r="G20" s="32" t="inlineStr">
        <is>
          <t>部門が自ら行う運用・開発は契約に基づく業務ではなく直接業務に当たり、部門に残るため（決定事項 No.16）</t>
        </is>
      </c>
      <c r="H20" s="32" t="inlineStr">
        <is>
          <t>見直す条件: 確認依頼 No.15 で直接業務と判断できないとされたとき</t>
        </is>
      </c>
      <c r="I20" s="32" t="inlineStr">
        <is>
          <t>憲章 第9条・第10条、予算移管シート「業務」「判定表」</t>
        </is>
      </c>
      <c r="J20" s="32" t="inlineStr">
        <is>
          <t>予算移管事務局</t>
        </is>
      </c>
    </row>
    <row r="21" ht="15" customHeight="1" s="18">
      <c r="A21" s="32" t="n">
        <v>18</v>
      </c>
      <c r="B21" s="46" t="n">
        <v>46306</v>
      </c>
      <c r="C21" s="32" t="inlineStr">
        <is>
          <t>IT部門</t>
        </is>
      </c>
      <c r="D21" s="32" t="inlineStr">
        <is>
          <t>—</t>
        </is>
      </c>
      <c r="E21" s="32" t="inlineStr">
        <is>
          <t>一括移管の実施日を2027-01-01とする</t>
        </is>
      </c>
      <c r="F21" s="32" t="inlineStr">
        <is>
          <t>決定</t>
        </is>
      </c>
      <c r="G21" s="32" t="inlineStr">
        <is>
          <t>—</t>
        </is>
      </c>
      <c r="H21" s="32" t="n"/>
      <c r="I21" s="32" t="inlineStr">
        <is>
          <t>憲章 第9条第1項、年間カレンダー「基準日」、移管対象部門ガイド p.6</t>
        </is>
      </c>
      <c r="J21" s="32" t="inlineStr">
        <is>
          <t>予算移管事務局</t>
        </is>
      </c>
    </row>
    <row r="22" ht="15" customHeight="1" s="18">
      <c r="A22" s="32" t="n">
        <v>19</v>
      </c>
      <c r="B22" s="46" t="n">
        <v>46306</v>
      </c>
      <c r="C22" s="32" t="inlineStr">
        <is>
          <t>IT部門</t>
        </is>
      </c>
      <c r="D22" s="32" t="inlineStr">
        <is>
          <t>—</t>
        </is>
      </c>
      <c r="E22" s="32" t="inlineStr">
        <is>
          <t>間接業務はIT部門が一元管理する。契約はベンダーマネジメント担当が担い、請求書の支払いなどの事務手続きは既存の体制を増強して事務作業として実施する</t>
        </is>
      </c>
      <c r="F22" s="32" t="inlineStr">
        <is>
          <t>決定</t>
        </is>
      </c>
      <c r="G22" s="32" t="inlineStr">
        <is>
          <t>移管を受けるIT部門の各担当者に負担を分散させないため</t>
        </is>
      </c>
      <c r="H22" s="32" t="n"/>
      <c r="I22" s="32" t="inlineStr">
        <is>
          <t>憲章 第5条・第7条・第11条、業務フロー定義 RACI（3）</t>
        </is>
      </c>
      <c r="J22" s="32" t="inlineStr">
        <is>
          <t>予算移管事務局</t>
        </is>
      </c>
    </row>
    <row r="23" ht="15" customHeight="1" s="18">
      <c r="A23" s="32" t="n">
        <v>20</v>
      </c>
      <c r="B23" s="46" t="n">
        <v>46306</v>
      </c>
      <c r="C23" s="32" t="inlineStr">
        <is>
          <t>IT部門</t>
        </is>
      </c>
      <c r="D23" s="32" t="inlineStr">
        <is>
          <t>—</t>
        </is>
      </c>
      <c r="E23" s="32" t="inlineStr">
        <is>
          <t>Runbook を実務の3名の役割別のファイル（予算移管担当編、ベンダーマネジメント担当編、事務担当編）に分け、承認事項は予算移管担当編の「承認の依頼」に置き、実務の3名が予算移管シート「進捗」で自分のタスクの進捗を更新する。承認の進捗は予算移管担当が更新する</t>
        </is>
      </c>
      <c r="F23" s="32" t="inlineStr">
        <is>
          <t>決定</t>
        </is>
      </c>
      <c r="G23" s="32" t="inlineStr">
        <is>
          <t>各担当が自分のタスクと責任を文書で確かめながら進め、進捗を台帳で管理するため</t>
        </is>
      </c>
      <c r="H23" s="32" t="inlineStr">
        <is>
          <t>運営主体（予算移管事務局の3名）の手順だけを書く。承認者向けの Runbook は作らない</t>
        </is>
      </c>
      <c r="I23" s="32" t="inlineStr">
        <is>
          <t>Runbook BTR-P-08-01〜03、予算移管シート「タスク一覧」「進捗」</t>
        </is>
      </c>
      <c r="J23" s="32" t="inlineStr">
        <is>
          <t>予算移管事務局</t>
        </is>
      </c>
    </row>
    <row r="24" ht="15" customHeight="1" s="18">
      <c r="A24" s="32" t="n">
        <v>21</v>
      </c>
      <c r="B24" s="46" t="n">
        <v>46306</v>
      </c>
      <c r="C24" s="32" t="inlineStr">
        <is>
          <t>IT部門</t>
        </is>
      </c>
      <c r="D24" s="32" t="inlineStr">
        <is>
          <t>—</t>
        </is>
      </c>
      <c r="E24" s="32" t="inlineStr">
        <is>
          <t>予算移管の実務は、予算移管事務局の3名（予算移管担当＝移管を受けるIT部門のメンバー、ベンダーマネジメント担当、事務担当）だけが行う。IT部門長、移管元の責任者、財務部門の担当者は承認者であり、実務は行わない</t>
        </is>
      </c>
      <c r="F24" s="32" t="inlineStr">
        <is>
          <t>決定</t>
        </is>
      </c>
      <c r="G24" s="32" t="inlineStr">
        <is>
          <t>実務の主体を移管を受ける側に一本化し、承認と実務を分けるため</t>
        </is>
      </c>
      <c r="H24" s="32" t="n"/>
      <c r="I24" s="32" t="inlineStr">
        <is>
          <t>憲章 第5条・第6条・第7条、業務フロー定義、Runbook、予算移管シート</t>
        </is>
      </c>
      <c r="J24" s="32" t="inlineStr">
        <is>
          <t>予算移管事務局</t>
        </is>
      </c>
    </row>
    <row r="25" ht="15" customHeight="1" s="18">
      <c r="A25" s="32" t="n">
        <v>22</v>
      </c>
      <c r="B25" s="46" t="n">
        <v>46306</v>
      </c>
      <c r="C25" s="32" t="inlineStr">
        <is>
          <t>IT部門</t>
        </is>
      </c>
      <c r="D25" s="32" t="inlineStr">
        <is>
          <t>—</t>
        </is>
      </c>
      <c r="E25" s="32" t="inlineStr">
        <is>
          <t>予算移管担当を、全体を進める進行役（1名）と、案件ごとの案件担当（複数）に分ける。案件担当は、普段からその案件でビジネス部門のカウンターパートを務めている IT部門のメンバーがそのまま担う</t>
        </is>
      </c>
      <c r="F25" s="32" t="inlineStr">
        <is>
          <t>決定</t>
        </is>
      </c>
      <c r="G25" s="32" t="inlineStr">
        <is>
          <t>案件のことを最もよく知る者が、移管元の部門と直接やりとりするため</t>
        </is>
      </c>
      <c r="H25" s="32" t="inlineStr">
        <is>
          <t>決定事項 No.21 の「3名」を改める</t>
        </is>
      </c>
      <c r="I25" s="32" t="inlineStr">
        <is>
          <t>憲章 第5条・第6条、Runbook 進行役編・案件担当編、予算移管シート「予算一覧」「タスク一覧」</t>
        </is>
      </c>
      <c r="J25" s="32" t="inlineStr">
        <is>
          <t>予算移管事務局</t>
        </is>
      </c>
    </row>
    <row r="26" ht="15" customHeight="1" s="18">
      <c r="A26" s="32" t="n">
        <v>23</v>
      </c>
      <c r="B26" s="46" t="n">
        <v>46306</v>
      </c>
      <c r="C26" s="32" t="inlineStr">
        <is>
          <t>IT部門</t>
        </is>
      </c>
      <c r="D26" s="32" t="inlineStr">
        <is>
          <t>—</t>
        </is>
      </c>
      <c r="E26" s="32" t="inlineStr">
        <is>
          <t>予算移管の実務は、進行役と案件担当の二者で整理する。ベンダーマネジメント担当編・事務担当編の Runbook を廃止し、受け入れ手順の整備を進行役に、契約の名義変更の手配と間接業務の引継ぎを案件担当に移す。ベンダーマネジメント担当・事務担当は、移管の後の受け手として扱う</t>
        </is>
      </c>
      <c r="F26" s="32" t="inlineStr">
        <is>
          <t>決定</t>
        </is>
      </c>
      <c r="G26" s="32" t="inlineStr">
        <is>
          <t>契約の精査や請求書の支払いの代行は、予算移管の後の業務であるため</t>
        </is>
      </c>
      <c r="H26" s="32" t="inlineStr">
        <is>
          <t>決定事項 No.20 の Runbook の構成を改める</t>
        </is>
      </c>
      <c r="I26" s="32" t="inlineStr">
        <is>
          <t>Runbook BTR-P-08-01・08-04（08-02・08-03 は廃止）、業務フロー定義、予算移管シート「タスク一覧」</t>
        </is>
      </c>
      <c r="J26" s="32" t="inlineStr">
        <is>
          <t>予算移管事務局</t>
        </is>
      </c>
    </row>
    <row r="27" ht="15" customHeight="1" s="18">
      <c r="A27" s="32" t="n">
        <v>24</v>
      </c>
      <c r="B27" s="46" t="n">
        <v>46306</v>
      </c>
      <c r="C27" s="32" t="inlineStr">
        <is>
          <t>IT部門</t>
        </is>
      </c>
      <c r="D27" s="32" t="inlineStr">
        <is>
          <t>—</t>
        </is>
      </c>
      <c r="E27" s="32" t="inlineStr">
        <is>
          <t>移管対象部門は、移管する予算も含めて必要な予算を2027年度予算に計上し、取締役会の承認を受ける。承認の後、移管する予算を、移管元の部門長とIT部門長の合意に基づく稟議（移管の稟議）で IT部門へ移す。移管の稟議は2026-12-31までに完了させる。予算編成の締切は日程の基準にしない</t>
        </is>
      </c>
      <c r="F27" s="32" t="inlineStr">
        <is>
          <t>決定</t>
        </is>
      </c>
      <c r="G27" s="32" t="inlineStr">
        <is>
          <t>予算の承認は取締役会の決議事項で会社全体の予算が対象。移管は部門長同士の合意を前提に稟議システム上の手続きで完結する</t>
        </is>
      </c>
      <c r="H27" s="32" t="inlineStr">
        <is>
          <t>—</t>
        </is>
      </c>
      <c r="I27" s="32" t="inlineStr">
        <is>
          <t>憲章 第9条、年間カレンダー「基準日」、Runbook 進行役編 §3.4</t>
        </is>
      </c>
      <c r="J27" s="32" t="inlineStr">
        <is>
          <t>予算移管事務局</t>
        </is>
      </c>
    </row>
    <row r="28" ht="15" customHeight="1" s="18">
      <c r="A28" s="32" t="n">
        <v>25</v>
      </c>
      <c r="B28" s="46" t="n">
        <v>46306</v>
      </c>
      <c r="C28" s="32" t="inlineStr">
        <is>
          <t>IT部門</t>
        </is>
      </c>
      <c r="D28" s="32" t="inlineStr">
        <is>
          <t>—</t>
        </is>
      </c>
      <c r="E28" s="32" t="inlineStr">
        <is>
          <t>移管の稟議は、進行役が部門ごとに起票する</t>
        </is>
      </c>
      <c r="F28" s="32" t="inlineStr">
        <is>
          <t>決定</t>
        </is>
      </c>
      <c r="G28" s="32" t="inlineStr">
        <is>
          <t>—</t>
        </is>
      </c>
      <c r="H28" s="32" t="inlineStr">
        <is>
          <t>—</t>
        </is>
      </c>
      <c r="I28" s="32" t="inlineStr">
        <is>
          <t>Runbook 進行役編 §3.4（保留課題 No.10）</t>
        </is>
      </c>
      <c r="J28" s="32" t="inlineStr">
        <is>
          <t>予算移管事務局</t>
        </is>
      </c>
    </row>
    <row r="29" ht="15" customHeight="1" s="18">
      <c r="A29" s="32" t="n">
        <v>26</v>
      </c>
      <c r="B29" s="46" t="n">
        <v>46306</v>
      </c>
      <c r="C29" s="32" t="inlineStr">
        <is>
          <t>IT部門</t>
        </is>
      </c>
      <c r="D29" s="32" t="inlineStr">
        <is>
          <t>—</t>
        </is>
      </c>
      <c r="E29" s="32" t="inlineStr">
        <is>
          <t>投資予算のうち、今年度から続く案件（継続案件。契約が済んでいるかを問わない）は事業部門に残す。事業部門が行うのは1回限りの支出の発注と検収だけで、次の継続などは IT部門に移管する。来年度に始まる投資案件（新規案件）は IT部門が行う。経費予算は、予算の移管が完了し次第 IT部門が行う</t>
        </is>
      </c>
      <c r="F29" s="32" t="inlineStr">
        <is>
          <t>決定</t>
        </is>
      </c>
      <c r="G29" s="32" t="inlineStr">
        <is>
          <t>—</t>
        </is>
      </c>
      <c r="H29" s="32" t="inlineStr">
        <is>
          <t>—</t>
        </is>
      </c>
      <c r="I29" s="32" t="inlineStr">
        <is>
          <t>憲章 第8条第3項、予算移管シート「予算一覧」AZ・AL・AM、契約の判定</t>
        </is>
      </c>
      <c r="J29" s="32" t="inlineStr">
        <is>
          <t>予算移管事務局</t>
        </is>
      </c>
    </row>
    <row r="30" ht="15" customHeight="1" s="18">
      <c r="A30" s="32" t="n">
        <v>27</v>
      </c>
      <c r="B30" s="46" t="n">
        <v>46306</v>
      </c>
      <c r="C30" s="32" t="inlineStr">
        <is>
          <t>IT部門</t>
        </is>
      </c>
      <c r="D30" s="32" t="inlineStr">
        <is>
          <t>—</t>
        </is>
      </c>
      <c r="E30" s="32" t="inlineStr">
        <is>
          <t>個別移管とした契約・間接業務の予算は、予定時期まで移管対象部門に残し、予定時期に期中の稟議で移す</t>
        </is>
      </c>
      <c r="F30" s="32" t="inlineStr">
        <is>
          <t>決定</t>
        </is>
      </c>
      <c r="G30" s="32" t="inlineStr">
        <is>
          <t>—</t>
        </is>
      </c>
      <c r="H30" s="32" t="inlineStr">
        <is>
          <t>—</t>
        </is>
      </c>
      <c r="I30" s="32" t="inlineStr">
        <is>
          <t>憲章 第9条第6項、予算移管シート「予算一覧」BA（保留課題 No.5）</t>
        </is>
      </c>
      <c r="J30" s="32" t="inlineStr">
        <is>
          <t>予算移管事務局</t>
        </is>
      </c>
    </row>
    <row r="31" ht="15" customHeight="1" s="18">
      <c r="A31" s="32" t="n">
        <v>28</v>
      </c>
      <c r="B31" s="46" t="n">
        <v>46306</v>
      </c>
      <c r="C31" s="32" t="inlineStr">
        <is>
          <t>IT部門</t>
        </is>
      </c>
      <c r="D31" s="32" t="inlineStr">
        <is>
          <t>—</t>
        </is>
      </c>
      <c r="E31" s="32" t="inlineStr">
        <is>
          <t>GxP対象の間接業務の変更管理は、移管元部門のSOPの改訂とIT部門側の手順の制定を、1件の変更管理として結びつけて行う（両部門で連携）</t>
        </is>
      </c>
      <c r="F31" s="32" t="inlineStr">
        <is>
          <t>決定</t>
        </is>
      </c>
      <c r="G31" s="32" t="inlineStr">
        <is>
          <t>—</t>
        </is>
      </c>
      <c r="H31" s="32" t="inlineStr">
        <is>
          <t>—</t>
        </is>
      </c>
      <c r="I31" s="32" t="inlineStr">
        <is>
          <t>憲章 第10条第3項、準備完了チェック No.4（保留課題 No.21）</t>
        </is>
      </c>
      <c r="J31" s="32" t="inlineStr">
        <is>
          <t>予算移管事務局</t>
        </is>
      </c>
    </row>
    <row r="32" ht="15" customHeight="1" s="18">
      <c r="A32" s="32" t="n">
        <v>29</v>
      </c>
      <c r="B32" s="46" t="n">
        <v>46306</v>
      </c>
      <c r="C32" s="32" t="inlineStr">
        <is>
          <t>IT部門</t>
        </is>
      </c>
      <c r="D32" s="32" t="inlineStr">
        <is>
          <t>—</t>
        </is>
      </c>
      <c r="E32" s="32" t="inlineStr">
        <is>
          <t>キックオフを2026-11-02に開催する</t>
        </is>
      </c>
      <c r="F32" s="32" t="inlineStr">
        <is>
          <t>決定</t>
        </is>
      </c>
      <c r="G32" s="32" t="inlineStr">
        <is>
          <t>—</t>
        </is>
      </c>
      <c r="H32" s="32" t="inlineStr">
        <is>
          <t>決定事項 No.7 の日付を改める</t>
        </is>
      </c>
      <c r="I32" s="32" t="inlineStr">
        <is>
          <t>年間カレンダー「基準日」、移管対象部門ガイド p.6、README</t>
        </is>
      </c>
      <c r="J32" s="32" t="inlineStr">
        <is>
          <t>予算移管事務局</t>
        </is>
      </c>
    </row>
    <row r="33" ht="15" customHeight="1" s="18">
      <c r="A33" s="32" t="n">
        <v>30</v>
      </c>
      <c r="B33" s="46" t="n">
        <v>46306</v>
      </c>
      <c r="C33" s="32" t="inlineStr">
        <is>
          <t>IT部門</t>
        </is>
      </c>
      <c r="D33" s="32" t="inlineStr">
        <is>
          <t>—</t>
        </is>
      </c>
      <c r="E33" s="32" t="inlineStr">
        <is>
          <t>取締役会による予算承認の日付は、日程と手順の条件に使わない（日付は公開されず、本件には直接関係しない）。移管の稟議は、部門の案件が合意済みになった後、2026-12-31までに完了させる</t>
        </is>
      </c>
      <c r="F33" s="32" t="inlineStr">
        <is>
          <t>決定</t>
        </is>
      </c>
      <c r="G33" s="32" t="inlineStr">
        <is>
          <t>—</t>
        </is>
      </c>
      <c r="H33" s="32" t="inlineStr">
        <is>
          <t>—</t>
        </is>
      </c>
      <c r="I33" s="32" t="inlineStr">
        <is>
          <t>年間カレンダー、Runbook 進行役編 §3.4（保留課題 No.23）</t>
        </is>
      </c>
      <c r="J33" s="32" t="inlineStr">
        <is>
          <t>予算移管事務局</t>
        </is>
      </c>
    </row>
    <row r="34" ht="15" customHeight="1" s="18">
      <c r="A34" s="32" t="n">
        <v>31</v>
      </c>
      <c r="B34" s="46" t="n">
        <v>46306</v>
      </c>
      <c r="C34" s="32" t="inlineStr">
        <is>
          <t>IT部門</t>
        </is>
      </c>
      <c r="D34" s="32" t="inlineStr">
        <is>
          <t>—</t>
        </is>
      </c>
      <c r="E34" s="32" t="inlineStr">
        <is>
          <t>全体のタスク一覧と、全ての登場人物を含む RACI を Runbook 全体編（BTR-P-08-00）にまとめ、RACI はこれを正とする</t>
        </is>
      </c>
      <c r="F34" s="32" t="inlineStr">
        <is>
          <t>決定</t>
        </is>
      </c>
      <c r="G34" s="32" t="inlineStr">
        <is>
          <t>Runbook を役割別に分けても、全体のタスクと分担を1か所で見られるようにするため</t>
        </is>
      </c>
      <c r="H34" s="32" t="inlineStr">
        <is>
          <t>業務フロー定義の RACI（1）（2）は要約とする</t>
        </is>
      </c>
      <c r="I34" s="32" t="inlineStr">
        <is>
          <t>Runbook BTR-P-08-00・08-01・08-04、業務フロー定義</t>
        </is>
      </c>
      <c r="J34" s="32" t="inlineStr">
        <is>
          <t>予算移管事務局</t>
        </is>
      </c>
    </row>
    <row r="35">
      <c r="A35" s="32" t="n">
        <v>32</v>
      </c>
      <c r="B35" s="46" t="n">
        <v>46306</v>
      </c>
      <c r="C35" s="32" t="inlineStr">
        <is>
          <t>IT部門</t>
        </is>
      </c>
      <c r="D35" s="32" t="inlineStr">
        <is>
          <t>—</t>
        </is>
      </c>
      <c r="E35" s="32" t="inlineStr">
        <is>
          <t>受け入れ手順を「引継ぎ要領」に改め、Runbook 案件担当編の付録に置く。IT部門長の承認（A-02）は廃止し、A-02 は欠番とする。引継ぎ要領は進行役が受け手と確かめて整える</t>
        </is>
      </c>
      <c r="F35" s="32" t="inlineStr">
        <is>
          <t>決定</t>
        </is>
      </c>
      <c r="G35" s="32" t="inlineStr">
        <is>
          <t>中身は受け手の対応表・受け取るものの一覧・名義変更の依頼の雛形で、手順書として承認するほどのものではないため</t>
        </is>
      </c>
      <c r="H35" s="32" t="inlineStr">
        <is>
          <t>—</t>
        </is>
      </c>
      <c r="I35" s="32" t="inlineStr">
        <is>
          <t>Runbook 全体編・進行役編 §3.3・案件担当編 付録、準備完了チェック No.2、予算移管シート「タスク一覧」</t>
        </is>
      </c>
      <c r="J35" s="32" t="inlineStr">
        <is>
          <t>予算移管事務局</t>
        </is>
      </c>
    </row>
    <row r="36">
      <c r="A36" s="32" t="n">
        <v>33</v>
      </c>
      <c r="B36" s="46" t="n">
        <v>46306</v>
      </c>
      <c r="C36" s="32" t="inlineStr">
        <is>
          <t>IT部門</t>
        </is>
      </c>
      <c r="D36" s="32" t="inlineStr">
        <is>
          <t>—</t>
        </is>
      </c>
      <c r="E36" s="32" t="inlineStr">
        <is>
          <t>ヒアリングは2026-10-01〜10-31に、キックオフの前の事前の情報整理として案件担当が行う。部門の確認と棚卸しの結果の承認は、キックオフ（2026-11-02）の後、11月に行う</t>
        </is>
      </c>
      <c r="F36" s="32" t="inlineStr">
        <is>
          <t>決定</t>
        </is>
      </c>
      <c r="G36" s="32" t="inlineStr">
        <is>
          <t>—</t>
        </is>
      </c>
      <c r="H36" s="32" t="inlineStr"/>
      <c r="I36" s="32" t="inlineStr">
        <is>
          <t>Runbook 全体編・進行役編 §3.1・§3.2・案件担当編 §3.1〜§3.3、年間カレンダー、移管対象部門ガイド p.3・p.6、業務フロー定義</t>
        </is>
      </c>
      <c r="J36" s="32" t="inlineStr">
        <is>
          <t>予算移管事務局</t>
        </is>
      </c>
    </row>
    <row r="37">
      <c r="A37" s="32" t="n">
        <v>34</v>
      </c>
      <c r="B37" s="46" t="n">
        <v>46306</v>
      </c>
      <c r="C37" s="32" t="inlineStr">
        <is>
          <t>IT部門</t>
        </is>
      </c>
      <c r="D37" s="32" t="inlineStr">
        <is>
          <t>—</t>
        </is>
      </c>
      <c r="E37" s="32" t="inlineStr">
        <is>
          <t>移管時期の合意の期限を2026年12月第2週（2026-12-11）、準備完了の確認の期限を12月第3週（2026-12-18）とする</t>
        </is>
      </c>
      <c r="F37" s="32" t="inlineStr">
        <is>
          <t>決定</t>
        </is>
      </c>
      <c r="G37" s="32" t="inlineStr">
        <is>
          <t>—</t>
        </is>
      </c>
      <c r="H37" s="32" t="inlineStr">
        <is>
          <t>週の期限は金曜日とした（確認依頼 No.28）</t>
        </is>
      </c>
      <c r="I37" s="32" t="inlineStr">
        <is>
          <t>年間カレンダー、移管対象部門ガイド p.6</t>
        </is>
      </c>
      <c r="J37" s="32" t="inlineStr">
        <is>
          <t>予算移管事務局</t>
        </is>
      </c>
    </row>
    <row r="38">
      <c r="A38" s="32" t="n">
        <v>35</v>
      </c>
      <c r="B38" s="46" t="n">
        <v>46306</v>
      </c>
      <c r="C38" s="32" t="inlineStr">
        <is>
          <t>IT部門</t>
        </is>
      </c>
      <c r="D38" s="32" t="inlineStr">
        <is>
          <t>—</t>
        </is>
      </c>
      <c r="E38" s="32" t="inlineStr">
        <is>
          <t>移管の時点では、契約について手続きを行わない（名義変更は不要）。移管した契約は、次回の更新のときに署名者が IT部門に変わる。請求書の宛名の変更は、ベンダーマネジメント担当が1月度の請求に間に合うよう（2月初旬まで）各相手先に連絡する。案件担当の C-06（名義変更の手配）とプロセス⑨は廃止し、欠番とする</t>
        </is>
      </c>
      <c r="F38" s="32" t="inlineStr">
        <is>
          <t>決定</t>
        </is>
      </c>
      <c r="G38" s="32" t="inlineStr">
        <is>
          <t>—</t>
        </is>
      </c>
      <c r="H38" s="32" t="inlineStr"/>
      <c r="I38" s="32" t="inlineStr">
        <is>
          <t>憲章 第5条・第9条・第10条・第11条第5項、Runbook 全体編・案件担当編 §3.6・付録3、業務フロー定義、準備完了チェック、予算移管シート「タスク一覧」</t>
        </is>
      </c>
      <c r="J38" s="32" t="inlineStr">
        <is>
          <t>予算移管事務局</t>
        </is>
      </c>
    </row>
    <row r="39">
      <c r="A39" s="32" t="n">
        <v>36</v>
      </c>
      <c r="B39" s="46" t="n">
        <v>46306</v>
      </c>
      <c r="C39" s="32" t="inlineStr">
        <is>
          <t>IT部門</t>
        </is>
      </c>
      <c r="D39" s="32" t="inlineStr">
        <is>
          <t>—</t>
        </is>
      </c>
      <c r="E39" s="32" t="inlineStr">
        <is>
          <t>個別移管とする理由を、GxPの変更管理が一括移管の実施日までに完了しないことに限る（契約の名義変更を理由から外す）</t>
        </is>
      </c>
      <c r="F39" s="32" t="inlineStr">
        <is>
          <t>決定</t>
        </is>
      </c>
      <c r="G39" s="32" t="inlineStr">
        <is>
          <t>決定事項 No.35 により、契約の名義変更が不要になったため</t>
        </is>
      </c>
      <c r="H39" s="32" t="inlineStr">
        <is>
          <t>決定事項 No.3 の例外の範囲を狭める</t>
        </is>
      </c>
      <c r="I39" s="32" t="inlineStr">
        <is>
          <t>憲章 第9条第3項、Runbook 案件担当編 §3.4、移管対象部門ガイド p.8・p.9</t>
        </is>
      </c>
      <c r="J39" s="32" t="inlineStr">
        <is>
          <t>予算移管事務局</t>
        </is>
      </c>
    </row>
    <row r="40">
      <c r="A40" s="32" t="n">
        <v>37</v>
      </c>
      <c r="B40" s="46" t="n">
        <v>46306</v>
      </c>
      <c r="C40" s="32" t="inlineStr">
        <is>
          <t>IT部門</t>
        </is>
      </c>
      <c r="D40" s="32" t="inlineStr">
        <is>
          <t>—</t>
        </is>
      </c>
      <c r="E40" s="32" t="inlineStr">
        <is>
          <t>個別移管とする契約・間接業務を含む案件は、案件全体を一括移管から外し、移管ステータスを「保留」とする。今回の取り組みの進捗管理上は保留のまま扱う</t>
        </is>
      </c>
      <c r="F40" s="32" t="inlineStr">
        <is>
          <t>決定</t>
        </is>
      </c>
      <c r="G40" s="32" t="inlineStr">
        <is>
          <t>—</t>
        </is>
      </c>
      <c r="H40" s="32" t="inlineStr"/>
      <c r="I40" s="32" t="inlineStr">
        <is>
          <t>憲章 第9条第6項・第10条、Runbook 案件担当編 §3.5・§3.10・進行役編 §3.4、予算移管シート「予算一覧」AO・AR・BA、モニタリング</t>
        </is>
      </c>
      <c r="J40" s="32" t="inlineStr">
        <is>
          <t>予算移管事務局</t>
        </is>
      </c>
    </row>
    <row r="41">
      <c r="A41" s="32" t="n">
        <v>38</v>
      </c>
      <c r="B41" s="46" t="n">
        <v>46306</v>
      </c>
      <c r="C41" s="32" t="inlineStr">
        <is>
          <t>IT部門</t>
        </is>
      </c>
      <c r="D41" s="32" t="inlineStr">
        <is>
          <t>—</t>
        </is>
      </c>
      <c r="E41" s="32" t="inlineStr">
        <is>
          <t>ヒアリングの記録と受け取った資料は、既存の事業部門と IT部門の双方が編集できる SharePoint フォルダに置く</t>
        </is>
      </c>
      <c r="F41" s="32" t="inlineStr">
        <is>
          <t>決定</t>
        </is>
      </c>
      <c r="G41" s="32" t="inlineStr">
        <is>
          <t>—</t>
        </is>
      </c>
      <c r="H41" s="32" t="inlineStr"/>
      <c r="I41" s="32" t="inlineStr">
        <is>
          <t>Runbook 案件担当編 §3.1・§5</t>
        </is>
      </c>
      <c r="J41" s="32" t="inlineStr">
        <is>
          <t>予算移管事務局</t>
        </is>
      </c>
    </row>
    <row r="42">
      <c r="A42" s="32" t="n">
        <v>39</v>
      </c>
      <c r="B42" s="46" t="n">
        <v>46306</v>
      </c>
      <c r="C42" s="32" t="inlineStr">
        <is>
          <t>IT部門</t>
        </is>
      </c>
      <c r="D42" s="32" t="inlineStr">
        <is>
          <t>—</t>
        </is>
      </c>
      <c r="E42" s="32" t="inlineStr">
        <is>
          <t>GxP対象の間接業務の IT部門側の手順は、各案件担当が移管対象部門の担当者と調整して改める</t>
        </is>
      </c>
      <c r="F42" s="32" t="inlineStr">
        <is>
          <t>決定</t>
        </is>
      </c>
      <c r="G42" s="32" t="inlineStr">
        <is>
          <t>—</t>
        </is>
      </c>
      <c r="H42" s="32" t="inlineStr"/>
      <c r="I42" s="32" t="inlineStr">
        <is>
          <t>憲章 第10条第3項、Runbook 全体編 §3・案件担当編 §3.4・§3.7、準備完了チェック No.3</t>
        </is>
      </c>
      <c r="J42" s="32" t="inlineStr">
        <is>
          <t>予算移管事務局</t>
        </is>
      </c>
    </row>
    <row r="43">
      <c r="A43" s="32" t="n">
        <v>40</v>
      </c>
      <c r="B43" s="46" t="n">
        <v>46306</v>
      </c>
      <c r="C43" s="32" t="inlineStr">
        <is>
          <t>IT部門</t>
        </is>
      </c>
      <c r="D43" s="32" t="inlineStr">
        <is>
          <t>—</t>
        </is>
      </c>
      <c r="E43" s="32" t="inlineStr">
        <is>
          <t>業務シートに案件IDの列を足し、業務を案件×システムの単位で持つ。案件の判定（業務のないシステム数・棚卸し未了・個別の業務数）は案件IDで数える</t>
        </is>
      </c>
      <c r="F43" s="32" t="inlineStr">
        <is>
          <t>決定</t>
        </is>
      </c>
      <c r="G43" s="32" t="inlineStr">
        <is>
          <t>同じシステムに複数の案件が紐づくとき、他の案件の業務の入力や個別移管が、自分の案件の判定に影響しないようにするため</t>
        </is>
      </c>
      <c r="H43" s="32" t="inlineStr"/>
      <c r="I43" s="32" t="inlineStr">
        <is>
          <t>予算移管シート「業務」「予算一覧」AT・AU・AW、仕様 §2・§3、Runbook 案件担当編 §3.2</t>
        </is>
      </c>
      <c r="J43" s="32" t="inlineStr">
        <is>
          <t>予算移管事務局</t>
        </is>
      </c>
    </row>
    <row r="44">
      <c r="A44" s="32" t="n">
        <v>41</v>
      </c>
      <c r="B44" s="46" t="n">
        <v>46306</v>
      </c>
      <c r="C44" s="32" t="inlineStr">
        <is>
          <t>IT部門</t>
        </is>
      </c>
      <c r="D44" s="32" t="inlineStr">
        <is>
          <t>—</t>
        </is>
      </c>
      <c r="E44" s="32" t="inlineStr">
        <is>
          <t>棚卸しの結果の移管元の責任者による承認（A-01）を廃止し、A-01 は欠番とする。移管ステータス「棚卸し済み」は、移管判定に判定保留がなく、記入内容を移管対象部門の担当者が確認したときとする</t>
        </is>
      </c>
      <c r="F44" s="32" t="inlineStr">
        <is>
          <t>決定</t>
        </is>
      </c>
      <c r="G44" s="32" t="inlineStr">
        <is>
          <t>移管するかどうかは基準（憲章 第8条）で決まり、責任者が承認する対象がない。責任者の承認は、移管時期と引継ぎの方法（A-03）と移管の稟議に限る</t>
        </is>
      </c>
      <c r="H44" s="32" t="inlineStr">
        <is>
          <t>保留課題 No.24 を取り下げる</t>
        </is>
      </c>
      <c r="I44" s="32" t="inlineStr">
        <is>
          <t>憲章 第5条・第7条・第10条、Runbook 全体編・進行役編・案件担当編 §1.5・§3.3・§3.10、予算移管シート「予算一覧」AR・「タスク一覧」・「選択肢」、年間カレンダー、移管対象部門ガイド p.3・p.6、業務フロー定義、用語集</t>
        </is>
      </c>
      <c r="J44" s="32" t="inlineStr">
        <is>
          <t>予算移管事務局</t>
        </is>
      </c>
    </row>
    <row r="45">
      <c r="A45" s="32" t="n">
        <v>42</v>
      </c>
      <c r="B45" s="46" t="n">
        <v>46306</v>
      </c>
      <c r="C45" s="32" t="inlineStr">
        <is>
          <t>IT部門</t>
        </is>
      </c>
      <c r="D45" s="32" t="inlineStr">
        <is>
          <t>—</t>
        </is>
      </c>
      <c r="E45" s="32" t="inlineStr">
        <is>
          <t>引継ぎ要領は、キックオフの前（2026-10-30）までに確定させる。引継ぎ要領の確定を、予算移管の開始条件とする。付録2の受け渡しの置き場所は、周知済みのため書かない</t>
        </is>
      </c>
      <c r="F45" s="32" t="inlineStr">
        <is>
          <t>決定</t>
        </is>
      </c>
      <c r="G45" s="32" t="inlineStr">
        <is>
          <t>—</t>
        </is>
      </c>
      <c r="H45" s="32" t="inlineStr">
        <is>
          <t>保留課題 No.20 を確定する</t>
        </is>
      </c>
      <c r="I45" s="32" t="inlineStr">
        <is>
          <t>Runbook 全体編 §2・進行役編 §2・§3.1・§3.3・案件担当編 付録、年間カレンダー、業務フロー定義</t>
        </is>
      </c>
      <c r="J45" s="32" t="inlineStr">
        <is>
          <t>予算移管事務局</t>
        </is>
      </c>
    </row>
    <row r="46">
      <c r="A46" s="32" t="n">
        <v>43</v>
      </c>
      <c r="B46" s="46" t="n">
        <v>46306</v>
      </c>
      <c r="C46" s="32" t="inlineStr">
        <is>
          <t>IT部門</t>
        </is>
      </c>
      <c r="D46" s="32" t="inlineStr">
        <is>
          <t>—</t>
        </is>
      </c>
      <c r="E46" s="32" t="inlineStr">
        <is>
          <t>準備完了チェックから、移管の稟議の承認を確かめる項目（旧 No.4）を削除する</t>
        </is>
      </c>
      <c r="F46" s="32" t="inlineStr">
        <is>
          <t>決定</t>
        </is>
      </c>
      <c r="G46" s="32" t="inlineStr">
        <is>
          <t>移管の稟議の完了期限（12/31）は準備完了の確認の期限（12/18）より後であり、稟議の承認は準備完了の条件ではないため</t>
        </is>
      </c>
      <c r="H46" s="32" t="inlineStr">
        <is>
          <t>—</t>
        </is>
      </c>
      <c r="I46" s="32" t="inlineStr">
        <is>
          <t>準備完了チェック「項目マスタ」</t>
        </is>
      </c>
      <c r="J46" s="32" t="inlineStr">
        <is>
          <t>予算移管事務局</t>
        </is>
      </c>
    </row>
    <row r="47">
      <c r="A47" s="32" t="n">
        <v>44</v>
      </c>
      <c r="B47" s="46" t="n">
        <v>46306</v>
      </c>
      <c r="C47" s="32" t="inlineStr">
        <is>
          <t>IT部門</t>
        </is>
      </c>
      <c r="D47" s="32" t="inlineStr">
        <is>
          <t>—</t>
        </is>
      </c>
      <c r="E47" s="32" t="inlineStr">
        <is>
          <t>2026年12月末のゴールを、移管の稟議が承認されていることとする。その前提は、(1) 稟議に必要な情報が整理されている、(2) 12月末の時点で完了していないこと（SOPの改訂、契約の署名者の変更、請求書の宛名の変更など）が明確になっている、(3) 2027年1月から契約の管理と請求書の支払いなどの間接業務を IT部門が始められる、の3つとする</t>
        </is>
      </c>
      <c r="F47" s="32" t="inlineStr">
        <is>
          <t>決定</t>
        </is>
      </c>
      <c r="G47" s="32" t="inlineStr">
        <is>
          <t>SOPの改訂や契約の署名者の変更は、12月末の時点で終わっているはずがないため、ゴールに含めない</t>
        </is>
      </c>
      <c r="H47" s="32" t="inlineStr">
        <is>
          <t>—</t>
        </is>
      </c>
      <c r="I47" s="32" t="inlineStr">
        <is>
          <t>憲章 第3条第2項、Runbook 全体編 §1.3・案件担当編 §1.7、README</t>
        </is>
      </c>
      <c r="J47" s="32" t="inlineStr">
        <is>
          <t>予算移管事務局</t>
        </is>
      </c>
    </row>
    <row r="48">
      <c r="A48" s="32" t="n">
        <v>45</v>
      </c>
      <c r="B48" s="46" t="n">
        <v>46306</v>
      </c>
      <c r="C48" s="32" t="inlineStr">
        <is>
          <t>IT部門</t>
        </is>
      </c>
      <c r="D48" s="32" t="inlineStr">
        <is>
          <t>—</t>
        </is>
      </c>
      <c r="E48" s="32" t="inlineStr">
        <is>
          <t>GxP対象の間接業務は、変更管理を起票し、完了予定が明確になっていれば、SOPの改訂が完了していなくても一括移管とする。個別移管とする理由は、変更管理を一括移管の実施日までに起票できないことに限る。準備完了の条件を「変更管理の完了」から「変更管理の起票と完了予定」に改める</t>
        </is>
      </c>
      <c r="F48" s="32" t="inlineStr">
        <is>
          <t>決定</t>
        </is>
      </c>
      <c r="G48" s="32" t="inlineStr">
        <is>
          <t>決定事項 No.44 による。変更管理の完了までの間は、移管元の手順のまま間接業務を行う（憲章 第11条第3項）</t>
        </is>
      </c>
      <c r="H48" s="32" t="inlineStr">
        <is>
          <t>決定事項 No.36 の理由を改める</t>
        </is>
      </c>
      <c r="I48" s="32" t="inlineStr">
        <is>
          <t>憲章 第9条第3項・第10条、Runbook 案件担当編 §3.1・§3.4・§3.7、準備完了チェック No.3、予算移管シート「業務」W・「契約」、仕様 §3.2・§3.5、移管対象部門ガイド p.8、用語集</t>
        </is>
      </c>
      <c r="J48" s="32" t="inlineStr">
        <is>
          <t>予算移管事務局</t>
        </is>
      </c>
    </row>
    <row r="49">
      <c r="A49" s="32" t="n">
        <v>46</v>
      </c>
      <c r="B49" s="46" t="n">
        <v>46306</v>
      </c>
      <c r="C49" s="32" t="inlineStr">
        <is>
          <t>IT部門</t>
        </is>
      </c>
      <c r="D49" s="32" t="inlineStr">
        <is>
          <t>—</t>
        </is>
      </c>
      <c r="E49" s="32" t="inlineStr">
        <is>
          <t>IT予算移管の上位文書は、全社向けの予算策定ガイドライン（社長ほかの決定事項を明文化したもの）とする</t>
        </is>
      </c>
      <c r="F49" s="32" t="inlineStr">
        <is>
          <t>決定</t>
        </is>
      </c>
      <c r="G49" s="32" t="inlineStr">
        <is>
          <t>—</t>
        </is>
      </c>
      <c r="H49" s="32" t="inlineStr">
        <is>
          <t>保留課題 No.1 を確定する</t>
        </is>
      </c>
      <c r="I49" s="32" t="inlineStr">
        <is>
          <t>憲章 文書管理情報・第4条</t>
        </is>
      </c>
      <c r="J49" s="32" t="inlineStr">
        <is>
          <t>予算移管事務局</t>
        </is>
      </c>
    </row>
    <row r="50">
      <c r="A50" s="32" t="n">
        <v>47</v>
      </c>
      <c r="B50" s="46" t="n">
        <v>46306</v>
      </c>
      <c r="C50" s="32" t="inlineStr">
        <is>
          <t>IT部門</t>
        </is>
      </c>
      <c r="D50" s="32" t="inlineStr">
        <is>
          <t>—</t>
        </is>
      </c>
      <c r="E50" s="32" t="inlineStr">
        <is>
          <t>キックオフは IT部門内（案件担当向け）で行う。移管対象部門には予算移管を案内済みのため招かない。部門への説明は案件担当がヒアリングと確認のときに行う</t>
        </is>
      </c>
      <c r="F50" s="32" t="inlineStr">
        <is>
          <t>決定</t>
        </is>
      </c>
      <c r="G50" s="32" t="inlineStr">
        <is>
          <t>—</t>
        </is>
      </c>
      <c r="H50" s="32" t="inlineStr">
        <is>
          <t>保留課題 No.2 を確定する</t>
        </is>
      </c>
      <c r="I50" s="32" t="inlineStr">
        <is>
          <t>Runbook 全体編・進行役編 §3.1・案件担当編 §3.1、業務フロー定義、移管対象部門ガイド、README</t>
        </is>
      </c>
      <c r="J50" s="32" t="inlineStr">
        <is>
          <t>予算移管事務局</t>
        </is>
      </c>
    </row>
    <row r="51">
      <c r="A51" s="32" t="n">
        <v>48</v>
      </c>
      <c r="B51" s="46" t="n">
        <v>46306</v>
      </c>
      <c r="C51" s="32" t="inlineStr">
        <is>
          <t>IT部門</t>
        </is>
      </c>
      <c r="D51" s="32" t="inlineStr">
        <is>
          <t>—</t>
        </is>
      </c>
      <c r="E51" s="32" t="inlineStr">
        <is>
          <t>経営層への運営状況の報告は行わない（A-07 を廃止し欠番とする）</t>
        </is>
      </c>
      <c r="F51" s="32" t="inlineStr">
        <is>
          <t>決定</t>
        </is>
      </c>
      <c r="G51" s="32" t="inlineStr">
        <is>
          <t>報告は不要とされたため</t>
        </is>
      </c>
      <c r="H51" s="32" t="inlineStr">
        <is>
          <t>保留課題 No.9 を取り下げる</t>
        </is>
      </c>
      <c r="I51" s="32" t="inlineStr">
        <is>
          <t>憲章 第3条・第5条・第16条、Runbook 全体編・進行役編、年間カレンダー「定期作業」、業務フロー定義、用語集</t>
        </is>
      </c>
      <c r="J51" s="32" t="inlineStr">
        <is>
          <t>予算移管事務局</t>
        </is>
      </c>
    </row>
    <row r="52">
      <c r="A52" s="32" t="n">
        <v>49</v>
      </c>
      <c r="B52" s="46" t="n">
        <v>46306</v>
      </c>
      <c r="C52" s="32" t="inlineStr">
        <is>
          <t>IT部門</t>
        </is>
      </c>
      <c r="D52" s="32" t="inlineStr">
        <is>
          <t>—</t>
        </is>
      </c>
      <c r="E52" s="32" t="inlineStr">
        <is>
          <t>予算移管事務局の窓口は案内済みのため、文書に書かない</t>
        </is>
      </c>
      <c r="F52" s="32" t="inlineStr">
        <is>
          <t>決定</t>
        </is>
      </c>
      <c r="G52" s="32" t="inlineStr">
        <is>
          <t>—</t>
        </is>
      </c>
      <c r="H52" s="32" t="inlineStr">
        <is>
          <t>保留課題 No.11 を取り下げる</t>
        </is>
      </c>
      <c r="I52" s="32" t="inlineStr">
        <is>
          <t>Runbook 進行役編 §1.3、移管対象部門ガイド p.2・p.9</t>
        </is>
      </c>
      <c r="J52" s="32" t="inlineStr">
        <is>
          <t>予算移管事務局</t>
        </is>
      </c>
    </row>
    <row r="53">
      <c r="A53" s="32" t="n">
        <v>50</v>
      </c>
      <c r="B53" s="46" t="n">
        <v>46306</v>
      </c>
      <c r="C53" s="32" t="inlineStr">
        <is>
          <t>IT部門</t>
        </is>
      </c>
      <c r="D53" s="32" t="inlineStr">
        <is>
          <t>—</t>
        </is>
      </c>
      <c r="E53" s="32" t="inlineStr">
        <is>
          <t>移管ステータスは案件担当が随時更新し、進行役が毎日確認する。移管の完了の記録（C-09）は行わず、移管ステータスから移管済み・安定稼働を外す。部門の案件の移管ステータスが埋まった時点で、進行役が移管の稟議を起票する</t>
        </is>
      </c>
      <c r="F53" s="32" t="inlineStr">
        <is>
          <t>決定</t>
        </is>
      </c>
      <c r="G53" s="32" t="inlineStr">
        <is>
          <t>12月末のゴールは移管の稟議の承認であり、その後の記録は要らないため</t>
        </is>
      </c>
      <c r="H53" s="32" t="inlineStr">
        <is>
          <t>保留課題 No.18 を確定、No.6 を取り下げる</t>
        </is>
      </c>
      <c r="I53" s="32" t="inlineStr">
        <is>
          <t>憲章 第10条・第11条、Runbook 全体編・進行役編 §3.4・§3.6・§3.7・案件担当編 §3.9・§3.10、予算移管シート「予算一覧」AR・「モニタリング」・「選択肢」・「タスク一覧」、仕様 §3.4、年間カレンダー、業務フロー定義、用語集</t>
        </is>
      </c>
      <c r="J53" s="32" t="inlineStr">
        <is>
          <t>予算移管事務局</t>
        </is>
      </c>
    </row>
    <row r="54">
      <c r="A54" s="32" t="n">
        <v>51</v>
      </c>
      <c r="B54" s="46" t="n">
        <v>46307</v>
      </c>
      <c r="C54" s="32" t="inlineStr">
        <is>
          <t>IT部門</t>
        </is>
      </c>
      <c r="D54" s="32" t="inlineStr">
        <is>
          <t>—</t>
        </is>
      </c>
      <c r="E54" s="32" t="inlineStr">
        <is>
          <t>個別移管と、案件の保留を廃止する。移管する予算は、全ての案件で一括移管の実施日（2027-01-01）に移し、移管の稟議に全額を含める</t>
        </is>
      </c>
      <c r="F54" s="32" t="inlineStr">
        <is>
          <t>決定</t>
        </is>
      </c>
      <c r="G54" s="32" t="inlineStr">
        <is>
          <t>一部の業務の担当を変えられないことを理由に案件の予算を部門に残すと、経営の決定を一部実行しないことになり、経営の意思に反すると受け取られるおそれがあるため。1月1日に担当が変わる間接業務は、SOP などで担当が定められていることがまれなため</t>
        </is>
      </c>
      <c r="H54" s="32" t="inlineStr">
        <is>
          <t>決定事項 No.3・No.27・No.36・No.37・No.45 の個別移管と保留の部分を改める</t>
        </is>
      </c>
      <c r="I54" s="32" t="inlineStr">
        <is>
          <t>憲章 第3条・第5条・第7条・第9条・第10条、Runbook 全体編・進行役編・案件担当編、予算移管シート、仕様、準備完了チェック、年間カレンダー、用語集、業務フロー定義、移管対象部門ガイド、キックオフ資料</t>
        </is>
      </c>
      <c r="J54" s="32" t="inlineStr">
        <is>
          <t>予算移管事務局</t>
        </is>
      </c>
    </row>
    <row r="55">
      <c r="A55" s="32" t="n">
        <v>52</v>
      </c>
      <c r="B55" s="46" t="n">
        <v>46307</v>
      </c>
      <c r="C55" s="32" t="inlineStr">
        <is>
          <t>IT部門</t>
        </is>
      </c>
      <c r="D55" s="32" t="inlineStr">
        <is>
          <t>—</t>
        </is>
      </c>
      <c r="E55" s="32" t="inlineStr">
        <is>
          <t>今の担当が承認済みの文書や記録（SOP・規程・職務分掌など）で定められていて、担当の変更に正式な変更手続き（例：GxP の変更管理）が要る業務は、移管の後も、手続きが完了するまで今の担当のまま行う（経過措置）。業務と手続きの内容・完了予定は合意文書と予算移管シートに記録する</t>
        </is>
      </c>
      <c r="F55" s="32" t="inlineStr">
        <is>
          <t>決定</t>
        </is>
      </c>
      <c r="G55" s="32" t="inlineStr">
        <is>
          <t>予算は移しつつ、承認されていない担当者が業務を行うことを避けるため</t>
        </is>
      </c>
      <c r="H55" s="32" t="inlineStr">
        <is>
          <t>—</t>
        </is>
      </c>
      <c r="I55" s="32" t="inlineStr">
        <is>
          <t>憲章 第9条第3項・第4項・第10条第3項、案件担当編 §3.4・§3.5・§3.7、予算移管シート「業務」S・T、「予算一覧」AO</t>
        </is>
      </c>
      <c r="J55" s="32" t="inlineStr">
        <is>
          <t>予算移管事務局</t>
        </is>
      </c>
    </row>
    <row r="56">
      <c r="A56" s="32" t="n">
        <v>53</v>
      </c>
      <c r="B56" s="46" t="n">
        <v>46307</v>
      </c>
      <c r="C56" s="32" t="inlineStr">
        <is>
          <t>IT部門</t>
        </is>
      </c>
      <c r="D56" s="32" t="inlineStr">
        <is>
          <t>—</t>
        </is>
      </c>
      <c r="E56" s="32" t="inlineStr">
        <is>
          <t>直接業務と間接業務の間にある業務を「IT関連業務（中間層）」とし、標準 RACI（BTR-APX-01）を案件ごとにカスタマイズした合意文書で扱いを決める。カスタマイズできるのは、IT関連業務の行の R・C の持ち方と、SO が R を持ち始める時期に限る。A の列と、直接業務・間接業務の行は変えない</t>
        </is>
      </c>
      <c r="F56" s="32" t="inlineStr">
        <is>
          <t>決定</t>
        </is>
      </c>
      <c r="G56" s="32" t="inlineStr">
        <is>
          <t>案件ごとの交渉で A まで動くことを防ぎ、案件担当に判断を任せきりにしないため</t>
        </is>
      </c>
      <c r="H56" s="32" t="inlineStr">
        <is>
          <t>—</t>
        </is>
      </c>
      <c r="I56" s="32" t="inlineStr">
        <is>
          <t>憲章 第4条第5項、BTR-APX-01 §5、案件担当編 §3.4、進行役編 §3.6</t>
        </is>
      </c>
      <c r="J56" s="32" t="inlineStr">
        <is>
          <t>予算移管事務局</t>
        </is>
      </c>
    </row>
    <row r="57">
      <c r="A57" s="32" t="n">
        <v>54</v>
      </c>
      <c r="B57" s="46" t="n">
        <v>46307</v>
      </c>
      <c r="C57" s="32" t="inlineStr">
        <is>
          <t>IT部門</t>
        </is>
      </c>
      <c r="D57" s="32" t="inlineStr">
        <is>
          <t>—</t>
        </is>
      </c>
      <c r="E57" s="32" t="inlineStr">
        <is>
          <t>IT関連業務の扱いが合意の期限（12/11）までに合意できない部分は、合意できるまで今のやり方（Before）のまま行う（経過措置）。稟議は止めない</t>
        </is>
      </c>
      <c r="F57" s="32" t="inlineStr">
        <is>
          <t>決定</t>
        </is>
      </c>
      <c r="G57" s="32" t="inlineStr">
        <is>
          <t>12月末のゴール（稟議の承認）を守るため</t>
        </is>
      </c>
      <c r="H57" s="32" t="inlineStr">
        <is>
          <t>前に決めきれなかった「12/11 までに合意できない中間業務の扱い」を決める</t>
        </is>
      </c>
      <c r="I57" s="32" t="inlineStr">
        <is>
          <t>憲章 第9条第4項、案件担当編 §4、進行役編 §4</t>
        </is>
      </c>
      <c r="J57" s="32" t="inlineStr">
        <is>
          <t>予算移管事務局</t>
        </is>
      </c>
    </row>
  </sheetData>
  <dataValidations count="1">
    <dataValidation sqref="F4:F300" showDropDown="0" showInputMessage="0" showErrorMessage="0" allowBlank="1" type="list">
      <formula1>"適合,指摘あり,不適合,決定,報告受領,その他"</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2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7" min="1" max="1"/>
    <col width="40" customWidth="1" style="17" min="2" max="2"/>
    <col width="24" customWidth="1" style="17" min="3" max="3"/>
    <col width="12" customWidth="1" style="17" min="4" max="5"/>
    <col width="32" customWidth="1" style="17" min="6" max="6"/>
    <col width="10" customWidth="1" style="17" min="7" max="7"/>
    <col width="32" customWidth="1" style="17" min="8" max="8"/>
    <col width="12" customWidth="1" style="17" min="9" max="9"/>
  </cols>
  <sheetData>
    <row r="1" ht="21.6" customHeight="1" s="18">
      <c r="A1" s="42" t="inlineStr">
        <is>
          <t>保留課題（TBD）</t>
        </is>
      </c>
      <c r="B1" s="35" t="n"/>
      <c r="C1" s="35" t="n"/>
      <c r="D1" s="35" t="n"/>
      <c r="E1" s="35" t="n"/>
      <c r="F1" s="35" t="n"/>
      <c r="G1" s="35" t="n"/>
      <c r="H1" s="35" t="n"/>
      <c r="I1" s="35" t="n"/>
    </row>
    <row r="2">
      <c r="A2" s="35" t="n"/>
      <c r="B2" s="35" t="n"/>
      <c r="C2" s="35" t="n"/>
      <c r="D2" s="35" t="n"/>
      <c r="E2" s="35" t="n"/>
      <c r="F2" s="35" t="n"/>
      <c r="G2" s="35" t="n"/>
      <c r="H2" s="35" t="n"/>
      <c r="I2" s="35" t="n"/>
    </row>
    <row r="3" ht="15" customHeight="1" s="18">
      <c r="A3" s="28" t="inlineStr">
        <is>
          <t>No.</t>
        </is>
      </c>
      <c r="B3" s="43" t="inlineStr">
        <is>
          <t>課題</t>
        </is>
      </c>
      <c r="C3" s="43" t="inlineStr">
        <is>
          <t>記載箇所</t>
        </is>
      </c>
      <c r="D3" s="43" t="inlineStr">
        <is>
          <t>担当</t>
        </is>
      </c>
      <c r="E3" s="43" t="inlineStr">
        <is>
          <t>確定期限</t>
        </is>
      </c>
      <c r="F3" s="43" t="inlineStr">
        <is>
          <t>未確定のまま進めるリスク</t>
        </is>
      </c>
      <c r="G3" s="43" t="inlineStr">
        <is>
          <t>状態</t>
        </is>
      </c>
      <c r="H3" s="43" t="inlineStr">
        <is>
          <t>確定内容</t>
        </is>
      </c>
      <c r="I3" s="43" t="inlineStr">
        <is>
          <t>確定日</t>
        </is>
      </c>
    </row>
    <row r="4" ht="23.85" customHeight="1" s="18">
      <c r="A4" s="32" t="n">
        <v>1</v>
      </c>
      <c r="B4" s="32" t="inlineStr">
        <is>
          <t>経営層の決定事項の文書名（議事録・通達）</t>
        </is>
      </c>
      <c r="C4" s="32" t="inlineStr">
        <is>
          <t>憲章 文書管理情報（上位文書）</t>
        </is>
      </c>
      <c r="D4" s="32" t="inlineStr">
        <is>
          <t>IT部門長</t>
        </is>
      </c>
      <c r="E4" s="46" t="n">
        <v>46325</v>
      </c>
      <c r="F4" s="32" t="inlineStr">
        <is>
          <t>憲章の根拠を示せない</t>
        </is>
      </c>
      <c r="G4" s="32" t="inlineStr">
        <is>
          <t>確定</t>
        </is>
      </c>
      <c r="H4" s="32" t="inlineStr">
        <is>
          <t>全社向けの予算策定ガイドライン（社長ほかの決定事項を明文化したもの）（決定事項 No.46）</t>
        </is>
      </c>
      <c r="I4" s="46" t="n">
        <v>46306</v>
      </c>
    </row>
    <row r="5" ht="15" customHeight="1" s="18">
      <c r="A5" s="32" t="n">
        <v>2</v>
      </c>
      <c r="B5" s="32" t="inlineStr">
        <is>
          <t>人事・総務・財務以外の本社機能が移管対象部門に含まれるか</t>
        </is>
      </c>
      <c r="C5" s="32" t="inlineStr">
        <is>
          <t>憲章 第4条</t>
        </is>
      </c>
      <c r="D5" s="32" t="inlineStr">
        <is>
          <t>IT部門長</t>
        </is>
      </c>
      <c r="E5" s="46" t="n">
        <v>46325</v>
      </c>
      <c r="F5" s="32" t="inlineStr">
        <is>
          <t>キックオフの案内先が決まらない</t>
        </is>
      </c>
      <c r="G5" s="32" t="inlineStr">
        <is>
          <t>確定</t>
        </is>
      </c>
      <c r="H5" s="32" t="inlineStr">
        <is>
          <t>移管対象部門には案内済み。キックオフの参加者は IT部門だけのため、案内先として決める必要はない（決定事項 No.47）</t>
        </is>
      </c>
      <c r="I5" s="46" t="n">
        <v>46306</v>
      </c>
    </row>
    <row r="6" ht="15" customHeight="1" s="18">
      <c r="A6" s="32" t="n">
        <v>3</v>
      </c>
      <c r="B6" s="32" t="inlineStr">
        <is>
          <t>投資予算と経費予算の境目（契約更新時の条件変更の扱い）</t>
        </is>
      </c>
      <c r="C6" s="32" t="inlineStr">
        <is>
          <t>憲章 第8条第4項</t>
        </is>
      </c>
      <c r="D6" s="32" t="inlineStr">
        <is>
          <t>IT部門長</t>
        </is>
      </c>
      <c r="E6" s="46" t="n">
        <v>46339</v>
      </c>
      <c r="F6" s="32" t="inlineStr">
        <is>
          <t>予算区分が分かれる案件が判定保留のまま残る（継続か新規かの区分は決定事項 No.26 で確定）</t>
        </is>
      </c>
      <c r="G6" s="32" t="inlineStr">
        <is>
          <t>未着手</t>
        </is>
      </c>
      <c r="H6" s="32" t="n"/>
      <c r="I6" s="46" t="n"/>
    </row>
    <row r="7" ht="15" customHeight="1" s="18">
      <c r="A7" s="32" t="n">
        <v>4</v>
      </c>
      <c r="B7" s="32" t="inlineStr">
        <is>
          <t>一括移管の実施日</t>
        </is>
      </c>
      <c r="C7" s="32" t="inlineStr">
        <is>
          <t>憲章 第9条第1項、年間カレンダー「基準日」</t>
        </is>
      </c>
      <c r="D7" s="32" t="inlineStr">
        <is>
          <t>IT部門長</t>
        </is>
      </c>
      <c r="E7" s="46" t="n">
        <v>46325</v>
      </c>
      <c r="F7" s="32" t="inlineStr">
        <is>
          <t>個別移管とするかどうかの基準日が決まらない</t>
        </is>
      </c>
      <c r="G7" s="32" t="inlineStr">
        <is>
          <t>確定</t>
        </is>
      </c>
      <c r="H7" s="32" t="inlineStr">
        <is>
          <t>2027-01-01（決定事項 No.18）</t>
        </is>
      </c>
      <c r="I7" s="46" t="n">
        <v>46306</v>
      </c>
    </row>
    <row r="8" ht="15" customHeight="1" s="18">
      <c r="A8" s="32" t="n">
        <v>5</v>
      </c>
      <c r="B8" s="32" t="inlineStr">
        <is>
          <t>個別移管分の予算の扱い（期中振替か、IT部門予算に計上して移管対象部門が執行するか）</t>
        </is>
      </c>
      <c r="C8" s="32" t="inlineStr">
        <is>
          <t>憲章 第9条第5項</t>
        </is>
      </c>
      <c r="D8" s="32" t="inlineStr">
        <is>
          <t>IT部門長</t>
        </is>
      </c>
      <c r="E8" s="46" t="n">
        <v>46356</v>
      </c>
      <c r="F8" s="32" t="inlineStr">
        <is>
          <t>個別移管の案件の予算編成の方法が決まらない</t>
        </is>
      </c>
      <c r="G8" s="32" t="inlineStr">
        <is>
          <t>確定</t>
        </is>
      </c>
      <c r="H8" s="32" t="inlineStr">
        <is>
          <t>予定時期まで移管対象部門に残し、予定時期に期中の稟議で移す（決定事項 No.27）。のちに個別移管を廃止し、全額を一括で移すことにした（決定事項 No.51）</t>
        </is>
      </c>
      <c r="I8" s="46" t="n">
        <v>46306</v>
      </c>
    </row>
    <row r="9" ht="15" customHeight="1" s="18">
      <c r="A9" s="32" t="n">
        <v>6</v>
      </c>
      <c r="B9" s="32" t="inlineStr">
        <is>
          <t>安定稼働と判断する期間</t>
        </is>
      </c>
      <c r="C9" s="32" t="inlineStr">
        <is>
          <t>憲章 第10条</t>
        </is>
      </c>
      <c r="D9" s="32" t="inlineStr">
        <is>
          <t>IT部門長</t>
        </is>
      </c>
      <c r="E9" s="46" t="n">
        <v>46477</v>
      </c>
      <c r="F9" s="32" t="inlineStr">
        <is>
          <t>移管ステータスを安定稼働に進められない</t>
        </is>
      </c>
      <c r="G9" s="32" t="inlineStr">
        <is>
          <t>取り下げ</t>
        </is>
      </c>
      <c r="H9" s="32" t="inlineStr">
        <is>
          <t>移管ステータス「安定稼働」を廃止した（決定事項 No.50）</t>
        </is>
      </c>
      <c r="I9" s="46" t="n">
        <v>46306</v>
      </c>
    </row>
    <row r="10" ht="15" customHeight="1" s="18">
      <c r="A10" s="32" t="n">
        <v>7</v>
      </c>
      <c r="B10" s="32" t="inlineStr">
        <is>
          <t>変更依頼への回答期限</t>
        </is>
      </c>
      <c r="C10" s="32" t="inlineStr">
        <is>
          <t>憲章 第11条第2項</t>
        </is>
      </c>
      <c r="D10" s="32" t="inlineStr">
        <is>
          <t>IT部門長</t>
        </is>
      </c>
      <c r="E10" s="46" t="n">
        <v>46371</v>
      </c>
      <c r="F10" s="32" t="inlineStr">
        <is>
          <t>移管の前に示せず、移管対象部門の懸念が残る</t>
        </is>
      </c>
      <c r="G10" s="32" t="inlineStr">
        <is>
          <t>未着手</t>
        </is>
      </c>
      <c r="H10" s="32" t="n"/>
      <c r="I10" s="46" t="n"/>
    </row>
    <row r="11" ht="15" customHeight="1" s="18">
      <c r="A11" s="32" t="n">
        <v>8</v>
      </c>
      <c r="B11" s="32" t="inlineStr">
        <is>
          <t>削減分を移管対象部門に返す比率</t>
        </is>
      </c>
      <c r="C11" s="32" t="inlineStr">
        <is>
          <t>憲章 第12条</t>
        </is>
      </c>
      <c r="D11" s="32" t="inlineStr">
        <is>
          <t>IT部門長</t>
        </is>
      </c>
      <c r="E11" s="46" t="n">
        <v>46371</v>
      </c>
      <c r="F11" s="32" t="inlineStr">
        <is>
          <t>使っていない契約の情報が出てこない</t>
        </is>
      </c>
      <c r="G11" s="32" t="inlineStr">
        <is>
          <t>未着手</t>
        </is>
      </c>
      <c r="H11" s="32" t="n"/>
      <c r="I11" s="46" t="n"/>
    </row>
    <row r="12" ht="15" customHeight="1" s="18">
      <c r="A12" s="32" t="n">
        <v>9</v>
      </c>
      <c r="B12" s="32" t="inlineStr">
        <is>
          <t>運営状況の報告の周期</t>
        </is>
      </c>
      <c r="C12" s="32" t="inlineStr">
        <is>
          <t>憲章 第16条、年間カレンダー「定期作業」</t>
        </is>
      </c>
      <c r="D12" s="32" t="inlineStr">
        <is>
          <t>IT部門長</t>
        </is>
      </c>
      <c r="E12" s="46" t="n">
        <v>46325</v>
      </c>
      <c r="F12" s="32" t="inlineStr">
        <is>
          <t>経営層への報告の時期が決まらない</t>
        </is>
      </c>
      <c r="G12" s="32" t="inlineStr">
        <is>
          <t>取り下げ</t>
        </is>
      </c>
      <c r="H12" s="32" t="inlineStr">
        <is>
          <t>経営層への報告は行わない（決定事項 No.48）</t>
        </is>
      </c>
      <c r="I12" s="46" t="n">
        <v>46306</v>
      </c>
    </row>
    <row r="13" ht="15" customHeight="1" s="18">
      <c r="A13" s="32" t="n">
        <v>10</v>
      </c>
      <c r="B13" s="32" t="inlineStr">
        <is>
          <t>予算の移管の手続き（旧: 予算振替の手続き（財務部門との連携の方法））</t>
        </is>
      </c>
      <c r="C13" s="32" t="inlineStr">
        <is>
          <t>Runbook 進行役編 §3.4、業務フロー定義 p.14</t>
        </is>
      </c>
      <c r="D13" s="32" t="inlineStr">
        <is>
          <t>予算移管事務局</t>
        </is>
      </c>
      <c r="E13" s="46" t="n">
        <v>46356</v>
      </c>
      <c r="F13" s="32" t="inlineStr">
        <is>
          <t>予算編成に移管後の予算を反映できない</t>
        </is>
      </c>
      <c r="G13" s="32" t="inlineStr">
        <is>
          <t>確定</t>
        </is>
      </c>
      <c r="H13" s="32" t="inlineStr">
        <is>
          <t>進行役が部門ごとに移管の稟議を起票し、移管元の部門長とIT部門長の合意で承認する。2026-12-31までに完了させる（決定事項 No.24・No.25）</t>
        </is>
      </c>
      <c r="I13" s="46" t="n">
        <v>46306</v>
      </c>
    </row>
    <row r="14" ht="15" customHeight="1" s="18">
      <c r="A14" s="32" t="n">
        <v>11</v>
      </c>
      <c r="B14" s="32" t="inlineStr">
        <is>
          <t>予算移管事務局の窓口（共有アドレス）</t>
        </is>
      </c>
      <c r="C14" s="32" t="inlineStr">
        <is>
          <t>Runbook 進行役編 §1.3、移管対象部門ガイド p.2・p.9</t>
        </is>
      </c>
      <c r="D14" s="32" t="inlineStr">
        <is>
          <t>予算移管事務局</t>
        </is>
      </c>
      <c r="E14" s="46" t="n">
        <v>46325</v>
      </c>
      <c r="F14" s="32" t="inlineStr">
        <is>
          <t>キックオフで問い合わせ先を示せない</t>
        </is>
      </c>
      <c r="G14" s="32" t="inlineStr">
        <is>
          <t>取り下げ</t>
        </is>
      </c>
      <c r="H14" s="32" t="inlineStr">
        <is>
          <t>事務局の窓口は案内済みのため、文書に書かない（決定事項 No.49）</t>
        </is>
      </c>
      <c r="I14" s="46" t="n">
        <v>46306</v>
      </c>
    </row>
    <row r="15" ht="15" customHeight="1" s="18">
      <c r="A15" s="32" t="n">
        <v>12</v>
      </c>
      <c r="B15" s="32" t="inlineStr">
        <is>
          <t>KPIの目標値</t>
        </is>
      </c>
      <c r="C15" s="32" t="inlineStr">
        <is>
          <t>Runbook 進行役編 §5</t>
        </is>
      </c>
      <c r="D15" s="32" t="inlineStr">
        <is>
          <t>IT部門長</t>
        </is>
      </c>
      <c r="E15" s="46" t="n">
        <v>46356</v>
      </c>
      <c r="F15" s="32" t="inlineStr">
        <is>
          <t>進捗の良し悪しを判断できない</t>
        </is>
      </c>
      <c r="G15" s="32" t="inlineStr">
        <is>
          <t>未着手</t>
        </is>
      </c>
      <c r="H15" s="32" t="n"/>
      <c r="I15" s="46" t="n"/>
    </row>
    <row r="16" ht="15" customHeight="1" s="18">
      <c r="A16" s="32" t="n">
        <v>13</v>
      </c>
      <c r="B16" s="32" t="inlineStr">
        <is>
          <t>予算編成の締切</t>
        </is>
      </c>
      <c r="C16" s="32" t="inlineStr">
        <is>
          <t>年間カレンダー「基準日」</t>
        </is>
      </c>
      <c r="D16" s="32" t="inlineStr">
        <is>
          <t>予算移管事務局</t>
        </is>
      </c>
      <c r="E16" s="46" t="n">
        <v>46325</v>
      </c>
      <c r="F16" s="32" t="inlineStr">
        <is>
          <t>スケジュールの日付を計算できない</t>
        </is>
      </c>
      <c r="G16" s="32" t="inlineStr">
        <is>
          <t>取り下げ</t>
        </is>
      </c>
      <c r="H16" s="32" t="inlineStr">
        <is>
          <t>予算編成の締切は日程の基準にしない。移管の稟議の完了期限（2026-12-31）を基準にする（決定事項 No.24）</t>
        </is>
      </c>
      <c r="I16" s="46" t="n">
        <v>46306</v>
      </c>
    </row>
    <row r="17" ht="15" customHeight="1" s="18">
      <c r="A17" s="32" t="n">
        <v>14</v>
      </c>
      <c r="B17" s="32" t="inlineStr">
        <is>
          <t>予算シートの共有の期限</t>
        </is>
      </c>
      <c r="C17" s="32" t="inlineStr">
        <is>
          <t>年間カレンダー「カレンダー」、移管対象部門ガイド p.6</t>
        </is>
      </c>
      <c r="D17" s="32" t="inlineStr">
        <is>
          <t>予算移管事務局</t>
        </is>
      </c>
      <c r="E17" s="46" t="n">
        <v>46325</v>
      </c>
      <c r="F17" s="32" t="inlineStr">
        <is>
          <t>キックオフで期限を示せない</t>
        </is>
      </c>
      <c r="G17" s="32" t="inlineStr">
        <is>
          <t>取り下げ</t>
        </is>
      </c>
      <c r="H17" s="32" t="inlineStr">
        <is>
          <t>予算シートは、キックオフの前に受領済みのものを使う（10月のヒアリングに必要なため。確認依頼 No.26）</t>
        </is>
      </c>
      <c r="I17" s="46" t="n">
        <v>46306</v>
      </c>
    </row>
    <row r="18" ht="15" customHeight="1" s="18">
      <c r="A18" s="32" t="n">
        <v>15</v>
      </c>
      <c r="B18" s="32" t="inlineStr">
        <is>
          <t>ヒアリングの期間</t>
        </is>
      </c>
      <c r="C18" s="32" t="inlineStr">
        <is>
          <t>年間カレンダー「カレンダー」、移管対象部門ガイド p.6</t>
        </is>
      </c>
      <c r="D18" s="32" t="inlineStr">
        <is>
          <t>予算移管事務局</t>
        </is>
      </c>
      <c r="E18" s="46" t="n">
        <v>46325</v>
      </c>
      <c r="F18" s="32" t="inlineStr">
        <is>
          <t>キックオフで日程を示せない</t>
        </is>
      </c>
      <c r="G18" s="32" t="inlineStr">
        <is>
          <t>確定</t>
        </is>
      </c>
      <c r="H18" s="32" t="inlineStr">
        <is>
          <t>2026-10-01〜10-31。キックオフの前の事前の情報整理（決定事項 No.33）</t>
        </is>
      </c>
      <c r="I18" s="46" t="n">
        <v>46306</v>
      </c>
    </row>
    <row r="19" ht="15" customHeight="1" s="18">
      <c r="A19" s="32" t="n">
        <v>16</v>
      </c>
      <c r="B19" s="32" t="inlineStr">
        <is>
          <t>移管時期の合意の期限</t>
        </is>
      </c>
      <c r="C19" s="32" t="inlineStr">
        <is>
          <t>年間カレンダー「カレンダー」、移管対象部門ガイド p.6</t>
        </is>
      </c>
      <c r="D19" s="32" t="inlineStr">
        <is>
          <t>予算移管事務局</t>
        </is>
      </c>
      <c r="E19" s="46" t="n">
        <v>46325</v>
      </c>
      <c r="F19" s="32" t="inlineStr">
        <is>
          <t>移管の稟議の完了期限（2026-12-31）に間に合わない</t>
        </is>
      </c>
      <c r="G19" s="32" t="inlineStr">
        <is>
          <t>確定</t>
        </is>
      </c>
      <c r="H19" s="32" t="inlineStr">
        <is>
          <t>2026-12-11（12月第2週。決定事項 No.34）。のちに「合意の期限」に改めた</t>
        </is>
      </c>
      <c r="I19" s="46" t="n">
        <v>46306</v>
      </c>
    </row>
    <row r="20" ht="15" customHeight="1" s="18">
      <c r="A20" s="32" t="n">
        <v>17</v>
      </c>
      <c r="B20" s="32" t="inlineStr">
        <is>
          <t>準備完了の確認の期限</t>
        </is>
      </c>
      <c r="C20" s="32" t="inlineStr">
        <is>
          <t>年間カレンダー「カレンダー」</t>
        </is>
      </c>
      <c r="D20" s="32" t="inlineStr">
        <is>
          <t>予算移管事務局</t>
        </is>
      </c>
      <c r="E20" s="46" t="n">
        <v>46356</v>
      </c>
      <c r="F20" s="32" t="inlineStr">
        <is>
          <t>一括移管の準備が遅れる</t>
        </is>
      </c>
      <c r="G20" s="32" t="inlineStr">
        <is>
          <t>確定</t>
        </is>
      </c>
      <c r="H20" s="32" t="inlineStr">
        <is>
          <t>2026-12-18（12月第3週。決定事項 No.34）</t>
        </is>
      </c>
      <c r="I20" s="46" t="n">
        <v>46306</v>
      </c>
    </row>
    <row r="21" ht="15" customHeight="1" s="18">
      <c r="A21" s="32" t="n">
        <v>18</v>
      </c>
      <c r="B21" s="32" t="inlineStr">
        <is>
          <t>移管ステータスの更新の周期</t>
        </is>
      </c>
      <c r="C21" s="32" t="inlineStr">
        <is>
          <t>年間カレンダー「定期作業」</t>
        </is>
      </c>
      <c r="D21" s="32" t="inlineStr">
        <is>
          <t>予算移管事務局</t>
        </is>
      </c>
      <c r="E21" s="46" t="n">
        <v>46325</v>
      </c>
      <c r="F21" s="32" t="inlineStr">
        <is>
          <t>モニタリングが定期的に行われない</t>
        </is>
      </c>
      <c r="G21" s="32" t="inlineStr">
        <is>
          <t>確定</t>
        </is>
      </c>
      <c r="H21" s="32" t="inlineStr">
        <is>
          <t>案件担当が随時更新し、進行役が毎日確認する（決定事項 No.50）</t>
        </is>
      </c>
      <c r="I21" s="46" t="n">
        <v>46306</v>
      </c>
    </row>
    <row r="22" ht="15" customHeight="1" s="18">
      <c r="A22" s="32" t="n">
        <v>19</v>
      </c>
      <c r="B22" s="32" t="inlineStr">
        <is>
          <t>事務手続きを担う既存の体制の名称と増強の内容</t>
        </is>
      </c>
      <c r="C22" s="32" t="inlineStr">
        <is>
          <t>憲章 第11条、用語集 §2</t>
        </is>
      </c>
      <c r="D22" s="32" t="inlineStr">
        <is>
          <t>IT部門長</t>
        </is>
      </c>
      <c r="E22" s="46" t="n">
        <v>46356</v>
      </c>
      <c r="F22" s="32" t="inlineStr">
        <is>
          <t>移管の後、事務手続きの受け入れが整わない</t>
        </is>
      </c>
      <c r="G22" s="32" t="inlineStr">
        <is>
          <t>未着手</t>
        </is>
      </c>
      <c r="H22" s="32" t="n"/>
      <c r="I22" s="46" t="n"/>
    </row>
    <row r="23" ht="15" customHeight="1" s="18">
      <c r="A23" s="32" t="n">
        <v>20</v>
      </c>
      <c r="B23" s="32" t="inlineStr">
        <is>
          <t>引継ぎ要領の確定の期限</t>
        </is>
      </c>
      <c r="C23" s="32" t="inlineStr">
        <is>
          <t>年間カレンダー「カレンダー」、Runbook 進行役編 §3.3</t>
        </is>
      </c>
      <c r="D23" s="32" t="inlineStr">
        <is>
          <t>IT部門長</t>
        </is>
      </c>
      <c r="E23" s="46" t="n">
        <v>46356</v>
      </c>
      <c r="F23" s="32" t="inlineStr">
        <is>
          <t>一括移管の実施日までに、案件担当が間接業務を引き継げない</t>
        </is>
      </c>
      <c r="G23" s="32" t="inlineStr">
        <is>
          <t>確定</t>
        </is>
      </c>
      <c r="H23" s="32" t="inlineStr">
        <is>
          <t>キックオフの前（2026-10-30）までに確定させ、予算移管の開始条件とする（決定事項 No.42）</t>
        </is>
      </c>
      <c r="I23" s="46" t="n">
        <v>46306</v>
      </c>
    </row>
    <row r="24" ht="15" customHeight="1" s="18">
      <c r="A24" s="32" t="n">
        <v>21</v>
      </c>
      <c r="B24" s="32" t="inlineStr">
        <is>
          <t>GxP対象の業務の変更管理と移管の手続きの接続</t>
        </is>
      </c>
      <c r="C24" s="32" t="inlineStr">
        <is>
          <t>準備完了チェック「項目マスタ」No.4</t>
        </is>
      </c>
      <c r="D24" s="32" t="inlineStr">
        <is>
          <t>IT部門長</t>
        </is>
      </c>
      <c r="E24" s="46" t="n">
        <v>46371</v>
      </c>
      <c r="F24" s="32" t="inlineStr">
        <is>
          <t>GxP対象の間接業務が準備完了にならない</t>
        </is>
      </c>
      <c r="G24" s="32" t="inlineStr">
        <is>
          <t>確定</t>
        </is>
      </c>
      <c r="H24" s="32" t="inlineStr">
        <is>
          <t>移管元部門のSOPの改訂とIT部門側の手順の制定を1件の変更管理として行う（決定事項 No.28）</t>
        </is>
      </c>
      <c r="I24" s="46" t="n">
        <v>46306</v>
      </c>
    </row>
    <row r="25" ht="15" customHeight="1" s="18">
      <c r="A25" s="32" t="n">
        <v>22</v>
      </c>
      <c r="B25" s="32" t="inlineStr">
        <is>
          <t>要員ごと移管の業務の人の異動の扱い（IT部門の受け入れ）</t>
        </is>
      </c>
      <c r="C25" s="32" t="inlineStr">
        <is>
          <t>（削除済み）準備完了チェック</t>
        </is>
      </c>
      <c r="D25" s="32" t="inlineStr">
        <is>
          <t>IT部門長</t>
        </is>
      </c>
      <c r="E25" s="46" t="n">
        <v>46371</v>
      </c>
      <c r="F25" s="32" t="inlineStr">
        <is>
          <t>—</t>
        </is>
      </c>
      <c r="G25" s="32" t="inlineStr">
        <is>
          <t>取り下げ</t>
        </is>
      </c>
      <c r="H25" s="32" t="inlineStr">
        <is>
          <t>要員ごと移管を廃止した（決定事項 No.17）。部門が自ら行う運用・開発は直接業務として部門に残る</t>
        </is>
      </c>
      <c r="I25" s="46" t="n">
        <v>46306</v>
      </c>
    </row>
    <row r="26" ht="15" customHeight="1" s="18">
      <c r="A26" s="32" t="n">
        <v>23</v>
      </c>
      <c r="B26" s="32" t="inlineStr">
        <is>
          <t>取締役会による2027年度予算の承認の日（移管の稟議を起票できる日）</t>
        </is>
      </c>
      <c r="C26" s="32" t="inlineStr">
        <is>
          <t>年間カレンダー「基準日」、Runbook 進行役編 §3.4</t>
        </is>
      </c>
      <c r="D26" s="32" t="inlineStr">
        <is>
          <t>予算移管事務局</t>
        </is>
      </c>
      <c r="E26" s="46" t="n">
        <v>46325</v>
      </c>
      <c r="F26" s="32" t="inlineStr">
        <is>
          <t>移管の稟議を起票できる時期が分からず、2026-12-31までの完了の見通しが立たない</t>
        </is>
      </c>
      <c r="G26" s="32" t="inlineStr">
        <is>
          <t>取り下げ</t>
        </is>
      </c>
      <c r="H26" s="32" t="inlineStr">
        <is>
          <t>日付は公開されず、本件には直接関係しないため、日程の基準にしない（決定事項 No.30）</t>
        </is>
      </c>
      <c r="I26" s="46" t="n">
        <v>46306</v>
      </c>
    </row>
    <row r="27" ht="15" customHeight="1" s="18">
      <c r="A27" s="32" t="n">
        <v>24</v>
      </c>
      <c r="B27" s="32" t="inlineStr">
        <is>
          <t>棚卸しの結果の承認の期限（11月中のどの日か）</t>
        </is>
      </c>
      <c r="C27" s="32" t="inlineStr">
        <is>
          <t>年間カレンダー「カレンダー」、Runbook 案件担当編 §3.3、移管対象部門ガイド p.6</t>
        </is>
      </c>
      <c r="D27" s="32" t="inlineStr">
        <is>
          <t>予算移管事務局</t>
        </is>
      </c>
      <c r="E27" s="46" t="n">
        <v>46325</v>
      </c>
      <c r="F27" s="32" t="inlineStr">
        <is>
          <t>キックオフで部門に期限を示せない。移管時期の合意（12/11）までの期間が決まらない</t>
        </is>
      </c>
      <c r="G27" s="32" t="inlineStr">
        <is>
          <t>取り下げ</t>
        </is>
      </c>
      <c r="H27" s="32" t="inlineStr">
        <is>
          <t>棚卸しの結果の承認を廃止した（決定事項 No.41）</t>
        </is>
      </c>
      <c r="I27" s="46" t="n">
        <v>46306</v>
      </c>
    </row>
    <row r="28" ht="15" customHeight="1" s="18"/>
    <row r="29" ht="15" customHeight="1" s="18"/>
    <row r="30" ht="15" customHeight="1" s="18"/>
    <row r="31" ht="15" customHeight="1" s="18"/>
    <row r="32" ht="15" customHeight="1" s="18"/>
    <row r="33" ht="15" customHeight="1" s="18"/>
    <row r="34" ht="15" customHeight="1" s="18"/>
  </sheetData>
  <conditionalFormatting sqref="A5:I300">
    <cfRule type="expression" rank="0" priority="2" equalAverage="0" aboveAverage="0" dxfId="0" text="" percent="0" bottom="0">
      <formula>AND($E5&lt;&gt;"",$G5&lt;&gt;"確定",$G5&lt;&gt;"取り下げ",ISNUMBER($E5),$E5&lt;TODAY())</formula>
    </cfRule>
  </conditionalFormatting>
  <dataValidations count="1">
    <dataValidation sqref="G4:G300" showDropDown="0" showInputMessage="0" showErrorMessage="0" allowBlank="1" type="list">
      <formula1>"未着手,調整中,確定,取り下げ"</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4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7" min="1" max="1"/>
    <col width="40" customWidth="1" style="17" min="2" max="2"/>
    <col width="16" customWidth="1" style="17" min="3" max="3"/>
    <col width="12" customWidth="1" style="17" min="4" max="5"/>
    <col width="36" customWidth="1" style="17" min="6" max="6"/>
    <col width="12" customWidth="1" style="17" min="7" max="7"/>
    <col width="22" customWidth="1" style="17" min="8" max="8"/>
  </cols>
  <sheetData>
    <row r="1" ht="17.35" customHeight="1" s="18">
      <c r="A1" s="42" t="inlineStr">
        <is>
          <t>確認依頼</t>
        </is>
      </c>
      <c r="B1" s="35" t="n"/>
      <c r="C1" s="35" t="n"/>
      <c r="D1" s="35" t="n"/>
      <c r="E1" s="35" t="n"/>
      <c r="F1" s="35" t="n"/>
      <c r="G1" s="35" t="n"/>
      <c r="H1" s="35" t="n"/>
    </row>
    <row r="2">
      <c r="A2" s="35" t="n"/>
      <c r="B2" s="35" t="n"/>
      <c r="C2" s="35" t="n"/>
      <c r="D2" s="35" t="n"/>
      <c r="E2" s="35" t="n"/>
      <c r="F2" s="35" t="n"/>
      <c r="G2" s="35" t="n"/>
      <c r="H2" s="35" t="n"/>
    </row>
    <row r="3" ht="15" customHeight="1" s="18">
      <c r="A3" s="28" t="inlineStr">
        <is>
          <t>No.</t>
        </is>
      </c>
      <c r="B3" s="43" t="inlineStr">
        <is>
          <t>確認内容</t>
        </is>
      </c>
      <c r="C3" s="43" t="inlineStr">
        <is>
          <t>依頼先</t>
        </is>
      </c>
      <c r="D3" s="43" t="inlineStr">
        <is>
          <t>依頼日</t>
        </is>
      </c>
      <c r="E3" s="43" t="inlineStr">
        <is>
          <t>回答期限</t>
        </is>
      </c>
      <c r="F3" s="43" t="inlineStr">
        <is>
          <t>回答</t>
        </is>
      </c>
      <c r="G3" s="43" t="inlineStr">
        <is>
          <t>回答日</t>
        </is>
      </c>
      <c r="H3" s="43" t="inlineStr">
        <is>
          <t>反映先</t>
        </is>
      </c>
    </row>
    <row r="4" ht="23.85" customHeight="1" s="18">
      <c r="A4" s="32" t="n">
        <v>1</v>
      </c>
      <c r="B4" s="32" t="inlineStr">
        <is>
          <t>機能の型を C 定常運用型とした（A・B・D を採らない理由は決定事項 No.12）</t>
        </is>
      </c>
      <c r="C4" s="32" t="inlineStr">
        <is>
          <t>IT部門長</t>
        </is>
      </c>
      <c r="D4" s="46" t="n">
        <v>46306</v>
      </c>
      <c r="E4" s="46" t="n">
        <v>46318</v>
      </c>
      <c r="F4" s="32" t="n"/>
      <c r="G4" s="46" t="n"/>
      <c r="H4" s="32" t="n"/>
    </row>
    <row r="5" ht="15" customHeight="1" s="18">
      <c r="A5" s="32" t="n">
        <v>2</v>
      </c>
      <c r="B5" s="32" t="inlineStr">
        <is>
          <t>初期セットに任意の移管対象部門ガイドを加え、運用基準・決裁権限表・FAQ・Playbook などは作らないとした（決定事項 No.13）</t>
        </is>
      </c>
      <c r="C5" s="32" t="inlineStr">
        <is>
          <t>IT部門長</t>
        </is>
      </c>
      <c r="D5" s="46" t="n">
        <v>46306</v>
      </c>
      <c r="E5" s="46" t="n">
        <v>46318</v>
      </c>
      <c r="F5" s="32" t="n"/>
      <c r="G5" s="46" t="n"/>
      <c r="H5" s="32" t="n"/>
    </row>
    <row r="6" ht="15" customHeight="1" s="18">
      <c r="A6" s="32" t="n">
        <v>3</v>
      </c>
      <c r="B6" s="32" t="inlineStr">
        <is>
          <t>運用基準を作らず、移管の判定の基準を憲章 第8条〜第10条に置いた（決定事項 No.14）</t>
        </is>
      </c>
      <c r="C6" s="32" t="inlineStr">
        <is>
          <t>IT部門長</t>
        </is>
      </c>
      <c r="D6" s="46" t="n">
        <v>46306</v>
      </c>
      <c r="E6" s="46" t="n">
        <v>46318</v>
      </c>
      <c r="F6" s="32" t="n"/>
      <c r="G6" s="46" t="n"/>
      <c r="H6" s="32" t="n"/>
    </row>
    <row r="7" ht="15" customHeight="1" s="18">
      <c r="A7" s="32" t="n">
        <v>4</v>
      </c>
      <c r="B7" s="32" t="inlineStr">
        <is>
          <t>個別移管とする理由を、GxPの変更管理・契約の名義変更の2つに限った（憲章 第9条第2項）</t>
        </is>
      </c>
      <c r="C7" s="32" t="inlineStr">
        <is>
          <t>IT部門長</t>
        </is>
      </c>
      <c r="D7" s="46" t="n">
        <v>46306</v>
      </c>
      <c r="E7" s="46" t="n">
        <v>46318</v>
      </c>
      <c r="F7" s="32" t="n"/>
      <c r="G7" s="46" t="n"/>
      <c r="H7" s="32" t="inlineStr">
        <is>
          <t>決定事項 No.36 で、理由を GxP の変更管理だけに改めた（憲章 第9条第3項）</t>
        </is>
      </c>
    </row>
    <row r="8" ht="15" customHeight="1" s="18">
      <c r="A8" s="32" t="n">
        <v>5</v>
      </c>
      <c r="B8" s="32" t="inlineStr">
        <is>
          <t>個別移管を決める者をIT部門長とした（憲章 第7条、第9条第4項）</t>
        </is>
      </c>
      <c r="C8" s="32" t="inlineStr">
        <is>
          <t>IT部門長</t>
        </is>
      </c>
      <c r="D8" s="46" t="n">
        <v>46306</v>
      </c>
      <c r="E8" s="46" t="n">
        <v>46318</v>
      </c>
      <c r="F8" s="32" t="n"/>
      <c r="G8" s="46" t="n"/>
      <c r="H8" s="32" t="inlineStr">
        <is>
          <t>（決定事項 No.51 で見直し：個別移管を廃止した）</t>
        </is>
      </c>
    </row>
    <row r="9" ht="15" customHeight="1" s="18">
      <c r="A9" s="32" t="n">
        <v>6</v>
      </c>
      <c r="B9" s="32" t="inlineStr">
        <is>
          <t>移管ステータスを7つとし、各ステータスの条件を旧手順書の「移管の準備と実施」の段階から定めた（憲章 第10条）</t>
        </is>
      </c>
      <c r="C9" s="32" t="inlineStr">
        <is>
          <t>IT部門長</t>
        </is>
      </c>
      <c r="D9" s="46" t="n">
        <v>46306</v>
      </c>
      <c r="E9" s="46" t="n">
        <v>46318</v>
      </c>
      <c r="F9" s="32" t="n"/>
      <c r="G9" s="46" t="n"/>
      <c r="H9" s="32" t="inlineStr">
        <is>
          <t>（確認依頼 No.36・決定事項 No.51 で見直し：移管ステータスは5つになった）</t>
        </is>
      </c>
    </row>
    <row r="10" ht="15" customHeight="1" s="18">
      <c r="A10" s="32" t="n">
        <v>7</v>
      </c>
      <c r="B10" s="32" t="inlineStr">
        <is>
          <t>財務部門の役割（予算編成と予算振替）と、持つ権限・持たない権限を定めた（憲章 第5条）</t>
        </is>
      </c>
      <c r="C10" s="32" t="inlineStr">
        <is>
          <t>IT部門長</t>
        </is>
      </c>
      <c r="D10" s="46" t="n">
        <v>46306</v>
      </c>
      <c r="E10" s="46" t="n">
        <v>46318</v>
      </c>
      <c r="F10" s="32" t="n"/>
      <c r="G10" s="46" t="n"/>
      <c r="H10" s="32" t="inlineStr">
        <is>
          <t>（確認依頼 No.21 で見直し：財務部門を承認者から外した）</t>
        </is>
      </c>
    </row>
    <row r="11" ht="15" customHeight="1" s="18">
      <c r="A11" s="32" t="n">
        <v>8</v>
      </c>
      <c r="B11" s="32" t="inlineStr">
        <is>
          <t>運営状況の報告を、IT部門長から経営層へ行うとし、報告事項を3つとした（憲章 第16条）</t>
        </is>
      </c>
      <c r="C11" s="32" t="inlineStr">
        <is>
          <t>IT部門長</t>
        </is>
      </c>
      <c r="D11" s="46" t="n">
        <v>46306</v>
      </c>
      <c r="E11" s="46" t="n">
        <v>46318</v>
      </c>
      <c r="F11" s="32" t="n"/>
      <c r="G11" s="46" t="n"/>
      <c r="H11" s="32" t="inlineStr">
        <is>
          <t>（決定事項 No.48 で見直し：経営層への報告は行わない）</t>
        </is>
      </c>
    </row>
    <row r="12" ht="15" customHeight="1" s="18">
      <c r="A12" s="32" t="n">
        <v>9</v>
      </c>
      <c r="B12" s="32" t="inlineStr">
        <is>
          <t>移管した費用の配賦を、本テーマの対象外（翌年度以降に別途定める）とした（憲章 第4条）</t>
        </is>
      </c>
      <c r="C12" s="32" t="inlineStr">
        <is>
          <t>IT部門長</t>
        </is>
      </c>
      <c r="D12" s="46" t="n">
        <v>46306</v>
      </c>
      <c r="E12" s="46" t="n">
        <v>46318</v>
      </c>
      <c r="F12" s="32" t="n"/>
      <c r="G12" s="46" t="n"/>
      <c r="H12" s="32" t="n"/>
    </row>
    <row r="13" ht="15" customHeight="1" s="18">
      <c r="A13" s="32" t="n">
        <v>10</v>
      </c>
      <c r="B13" s="32" t="inlineStr">
        <is>
          <t>会議体と利害関係の回避の定めを置かないとした（憲章 第13条〜第15条）</t>
        </is>
      </c>
      <c r="C13" s="32" t="inlineStr">
        <is>
          <t>IT部門長</t>
        </is>
      </c>
      <c r="D13" s="46" t="n">
        <v>46306</v>
      </c>
      <c r="E13" s="46" t="n">
        <v>46318</v>
      </c>
      <c r="F13" s="32" t="n"/>
      <c r="G13" s="46" t="n"/>
      <c r="H13" s="32" t="n"/>
    </row>
    <row r="14" ht="15" customHeight="1" s="18">
      <c r="A14" s="32" t="n">
        <v>11</v>
      </c>
      <c r="B14" s="32" t="inlineStr">
        <is>
          <t>利用者の呼び方を「移管対象部門」、ガイドの表題を「移管対象部門ガイド」とした</t>
        </is>
      </c>
      <c r="C14" s="32" t="inlineStr">
        <is>
          <t>IT部門長</t>
        </is>
      </c>
      <c r="D14" s="46" t="n">
        <v>46306</v>
      </c>
      <c r="E14" s="46" t="n">
        <v>46318</v>
      </c>
      <c r="F14" s="32" t="n"/>
      <c r="G14" s="46" t="n"/>
      <c r="H14" s="32" t="n"/>
    </row>
    <row r="15" ht="15" customHeight="1" s="18">
      <c r="A15" s="32" t="n">
        <v>12</v>
      </c>
      <c r="B15" s="32" t="inlineStr">
        <is>
          <t>移管済みの案件の一覧を、新しいITガバナンス（Tier）の運営主体に渡すとした（Runbook 進行役編 §3.7）</t>
        </is>
      </c>
      <c r="C15" s="32" t="inlineStr">
        <is>
          <t>IT部門長</t>
        </is>
      </c>
      <c r="D15" s="46" t="n">
        <v>46306</v>
      </c>
      <c r="E15" s="46" t="n">
        <v>46318</v>
      </c>
      <c r="F15" s="32" t="n"/>
      <c r="G15" s="46" t="n"/>
      <c r="H15" s="32" t="inlineStr">
        <is>
          <t>（確認依頼 No.37 で見直し：稟議が承認された案件の一覧を渡す）</t>
        </is>
      </c>
    </row>
    <row r="16" ht="15" customHeight="1" s="18">
      <c r="A16" s="32" t="n">
        <v>13</v>
      </c>
      <c r="B16" s="32" t="inlineStr">
        <is>
          <t>移管直後にIT部門が示す4つの事項（回答期限、軽微な変更、代案、単価と内訳の開示）を憲章 第11条に置いた（旧手順書の「IT部門が約束すること」から）</t>
        </is>
      </c>
      <c r="C16" s="32" t="inlineStr">
        <is>
          <t>IT部門長</t>
        </is>
      </c>
      <c r="D16" s="46" t="n">
        <v>46306</v>
      </c>
      <c r="E16" s="46" t="n">
        <v>46318</v>
      </c>
      <c r="F16" s="32" t="n"/>
      <c r="G16" s="46" t="n"/>
      <c r="H16" s="32" t="n"/>
    </row>
    <row r="17" ht="15" customHeight="1" s="18">
      <c r="A17" s="32" t="n">
        <v>14</v>
      </c>
      <c r="B17" s="32" t="inlineStr">
        <is>
          <t>保留課題の確定期限を案として置いた（キックオフに必要なものは2026-10-30）</t>
        </is>
      </c>
      <c r="C17" s="32" t="inlineStr">
        <is>
          <t>IT部門長</t>
        </is>
      </c>
      <c r="D17" s="46" t="n">
        <v>46306</v>
      </c>
      <c r="E17" s="46" t="n">
        <v>46318</v>
      </c>
      <c r="F17" s="32" t="n"/>
      <c r="G17" s="46" t="n"/>
      <c r="H17" s="32" t="n"/>
    </row>
    <row r="18" ht="15" customHeight="1" s="18">
      <c r="A18" s="32" t="n">
        <v>15</v>
      </c>
      <c r="B18" s="32" t="inlineStr">
        <is>
          <t>部門が自ら行う運用（ユーザー管理など）と開発を、直接業務として部門に残るものとした（決定事項 No.17）</t>
        </is>
      </c>
      <c r="C18" s="32" t="inlineStr">
        <is>
          <t>IT部門長</t>
        </is>
      </c>
      <c r="D18" s="46" t="n">
        <v>46306</v>
      </c>
      <c r="E18" s="46" t="n">
        <v>46318</v>
      </c>
      <c r="F18" s="32" t="n"/>
      <c r="G18" s="46" t="n"/>
      <c r="H18" s="32" t="n"/>
    </row>
    <row r="19" ht="15" customHeight="1" s="18">
      <c r="A19" s="32" t="n">
        <v>16</v>
      </c>
      <c r="B19" s="32" t="inlineStr">
        <is>
          <t>間接業務のうち、予算の管理と発注・検収・支払いを事務担当に、委託先の管理と契約に関する監査・規制対応をベンダーマネジメント担当に割り当てた（業務フロー定義 RACI（3））</t>
        </is>
      </c>
      <c r="C19" s="32" t="inlineStr">
        <is>
          <t>IT部門長</t>
        </is>
      </c>
      <c r="D19" s="46" t="n">
        <v>46306</v>
      </c>
      <c r="E19" s="46" t="n">
        <v>46318</v>
      </c>
      <c r="F19" s="32" t="n"/>
      <c r="G19" s="46" t="n"/>
      <c r="H19" s="32" t="n"/>
    </row>
    <row r="20" ht="15" customHeight="1" s="18">
      <c r="A20" s="32" t="n">
        <v>17</v>
      </c>
      <c r="B20" s="32" t="inlineStr">
        <is>
          <t>移管対象部門の担当者を、情報と資料を提供する立場（実務は行わない、相談を受ける）として残した（憲章 第5条）</t>
        </is>
      </c>
      <c r="C20" s="32" t="inlineStr">
        <is>
          <t>IT部門長</t>
        </is>
      </c>
      <c r="D20" s="46" t="n">
        <v>46306</v>
      </c>
      <c r="E20" s="46" t="n">
        <v>46318</v>
      </c>
      <c r="F20" s="32" t="n"/>
      <c r="G20" s="46" t="n"/>
      <c r="H20" s="32" t="n"/>
    </row>
    <row r="21" ht="15" customHeight="1" s="18">
      <c r="A21" s="32" t="n">
        <v>18</v>
      </c>
      <c r="B21" s="32" t="inlineStr">
        <is>
          <t>承認の依頼と記録を予算移管担当（IT部門長への依頼は進行役、移管元の責任者への依頼は案件担当）が行い、承認者は進捗シートに記入しないとした（Runbook 進行役編 §1.6、案件担当編 §1.6）</t>
        </is>
      </c>
      <c r="C21" s="32" t="inlineStr">
        <is>
          <t>IT部門長</t>
        </is>
      </c>
      <c r="D21" s="46" t="n">
        <v>46306</v>
      </c>
      <c r="E21" s="46" t="n">
        <v>46318</v>
      </c>
      <c r="F21" s="32" t="n"/>
      <c r="G21" s="46" t="n"/>
      <c r="H21" s="32" t="n"/>
    </row>
    <row r="22" ht="15" customHeight="1" s="18">
      <c r="A22" s="32" t="n">
        <v>19</v>
      </c>
      <c r="B22" s="32" t="inlineStr">
        <is>
          <t>業務の種類を10種とし、それぞれを直接業務・間接業務に分けた（予算移管シート「選択肢」、業務フロー定義 RACI（3））</t>
        </is>
      </c>
      <c r="C22" s="32" t="inlineStr">
        <is>
          <t>IT部門長</t>
        </is>
      </c>
      <c r="D22" s="46" t="n">
        <v>46306</v>
      </c>
      <c r="E22" s="46" t="n">
        <v>46318</v>
      </c>
      <c r="F22" s="32" t="n"/>
      <c r="G22" s="46" t="n"/>
      <c r="H22" s="32" t="n"/>
    </row>
    <row r="23" ht="15" customHeight="1" s="18">
      <c r="A23" s="32" t="n">
        <v>20</v>
      </c>
      <c r="B23" s="32" t="inlineStr">
        <is>
          <t>移管元の責任者への案件ごとの承認（A-01・A-03）は案件担当が、IT部門長への依頼（個別移管・確認依頼）と稟議は進行役が行うとした</t>
        </is>
      </c>
      <c r="C23" s="32" t="inlineStr">
        <is>
          <t>IT部門長</t>
        </is>
      </c>
      <c r="D23" s="46" t="n">
        <v>46306</v>
      </c>
      <c r="E23" s="46" t="n">
        <v>46318</v>
      </c>
      <c r="F23" s="32" t="n"/>
      <c r="G23" s="46" t="n"/>
      <c r="H23" s="32" t="inlineStr">
        <is>
          <t>Runbook 進行役編 §1.5、案件担当編 §1.5（決定事項 No.41・No.51 で見直し：A-01 と個別移管を廃止した）</t>
        </is>
      </c>
    </row>
    <row r="24" ht="15" customHeight="1" s="18">
      <c r="A24" s="32" t="n">
        <v>21</v>
      </c>
      <c r="B24" s="32" t="inlineStr">
        <is>
          <t>財務部門の担当者を承認者から外した（移管の稟議は部門長同士で完結するため）</t>
        </is>
      </c>
      <c r="C24" s="32" t="inlineStr">
        <is>
          <t>IT部門長</t>
        </is>
      </c>
      <c r="D24" s="46" t="n">
        <v>46306</v>
      </c>
      <c r="E24" s="46" t="n">
        <v>46318</v>
      </c>
      <c r="F24" s="32" t="n"/>
      <c r="G24" s="46" t="n"/>
      <c r="H24" s="32" t="inlineStr">
        <is>
          <t>憲章 第5条・第6条・第7条</t>
        </is>
      </c>
    </row>
    <row r="25">
      <c r="A25" s="32" t="n">
        <v>22</v>
      </c>
      <c r="B25" s="32" t="inlineStr">
        <is>
          <t>「移管元の責任者」を移管対象部門の部門長とし、移管の稟議の承認者とした</t>
        </is>
      </c>
      <c r="C25" s="32" t="inlineStr">
        <is>
          <t>IT部門長</t>
        </is>
      </c>
      <c r="D25" s="46" t="n">
        <v>46306</v>
      </c>
      <c r="E25" s="46" t="n">
        <v>46318</v>
      </c>
      <c r="F25" s="32" t="n"/>
      <c r="G25" s="46" t="n"/>
      <c r="H25" s="32" t="inlineStr">
        <is>
          <t>憲章 第5条、用語集 §2</t>
        </is>
      </c>
    </row>
    <row r="26">
      <c r="A26" s="32" t="n">
        <v>23</v>
      </c>
      <c r="B26" s="32" t="inlineStr">
        <is>
          <t>継続している投資案件を、移管判定「対象外」として扱うとした（予算一覧に「投資の区分」を足した）</t>
        </is>
      </c>
      <c r="C26" s="32" t="inlineStr">
        <is>
          <t>IT部門長</t>
        </is>
      </c>
      <c r="D26" s="46" t="n">
        <v>46306</v>
      </c>
      <c r="E26" s="46" t="n">
        <v>46318</v>
      </c>
      <c r="F26" s="32" t="n"/>
      <c r="G26" s="46" t="n"/>
      <c r="H26" s="32" t="inlineStr">
        <is>
          <t>憲章 第8条第3項、予算移管シート 仕様 §3</t>
        </is>
      </c>
    </row>
    <row r="27">
      <c r="A27" s="32" t="n">
        <v>24</v>
      </c>
      <c r="B27" s="32" t="inlineStr">
        <is>
          <t>移管ステータスは案件担当が更新し、進行役が確認日に食い違いを確かめるとした</t>
        </is>
      </c>
      <c r="C27" s="32" t="inlineStr">
        <is>
          <t>IT部門長</t>
        </is>
      </c>
      <c r="D27" s="46" t="n">
        <v>46306</v>
      </c>
      <c r="E27" s="46" t="n">
        <v>46318</v>
      </c>
      <c r="F27" s="32" t="n"/>
      <c r="G27" s="46" t="n"/>
      <c r="H27" s="32" t="inlineStr">
        <is>
          <t>憲章 第10条第2項、Runbook 案件担当編 §3.10</t>
        </is>
      </c>
    </row>
    <row r="28">
      <c r="A28" s="32" t="n">
        <v>25</v>
      </c>
      <c r="B28" s="32" t="inlineStr">
        <is>
          <t>稟議の起票の条件を「その部門の案件が全て合意済み以降か対象外になった」とした</t>
        </is>
      </c>
      <c r="C28" s="32" t="inlineStr">
        <is>
          <t>IT部門長</t>
        </is>
      </c>
      <c r="D28" s="46" t="n">
        <v>46306</v>
      </c>
      <c r="E28" s="46" t="n">
        <v>46318</v>
      </c>
      <c r="F28" s="32" t="n"/>
      <c r="G28" s="46" t="n"/>
      <c r="H28" s="32" t="inlineStr">
        <is>
          <t>Runbook 進行役編 §3.4</t>
        </is>
      </c>
    </row>
    <row r="29">
      <c r="A29" s="32" t="n">
        <v>26</v>
      </c>
      <c r="B29" s="32" t="inlineStr">
        <is>
          <t>予算シートはキックオフの前に受領済みのものを使い、キックオフでは共有を依頼しないとした（10月のヒアリングの前に案件の登録と割当てが要るため）。保留課題 No.14 を取り下げた</t>
        </is>
      </c>
      <c r="C29" s="32" t="inlineStr">
        <is>
          <t>IT部門長</t>
        </is>
      </c>
      <c r="D29" s="46" t="n">
        <v>46306</v>
      </c>
      <c r="E29" s="46" t="n">
        <v>46318</v>
      </c>
      <c r="F29" s="32" t="n"/>
      <c r="G29" s="46" t="n"/>
      <c r="H29" s="32" t="inlineStr">
        <is>
          <t>Runbook 進行役編 §3.1・§3.2、年間カレンダー</t>
        </is>
      </c>
    </row>
    <row r="30">
      <c r="A30" s="32" t="n">
        <v>27</v>
      </c>
      <c r="B30" s="32" t="inlineStr">
        <is>
          <t>保留の案件（個別移管がある案件）は、一括移管できる部分も含めて予算の全額を予定時期まで部門に残すとした（案件全体を保留にするため）</t>
        </is>
      </c>
      <c r="C30" s="32" t="inlineStr">
        <is>
          <t>IT部門長</t>
        </is>
      </c>
      <c r="D30" s="46" t="n">
        <v>46306</v>
      </c>
      <c r="E30" s="46" t="n">
        <v>46318</v>
      </c>
      <c r="F30" s="32" t="n"/>
      <c r="G30" s="46" t="n"/>
      <c r="H30" s="32" t="inlineStr">
        <is>
          <t>憲章 第9条第6項、予算移管シート「予算一覧」BA（決定事項 No.51 で見直し：保留を廃止し、全額を一括で移す）</t>
        </is>
      </c>
    </row>
    <row r="31">
      <c r="A31" s="32" t="n">
        <v>28</v>
      </c>
      <c r="B31" s="32" t="inlineStr">
        <is>
          <t>「12月第2週」「12月第3週」の期限を、それぞれの週の金曜日（2026-12-11、2026-12-18）とした</t>
        </is>
      </c>
      <c r="C31" s="32" t="inlineStr">
        <is>
          <t>IT部門長</t>
        </is>
      </c>
      <c r="D31" s="46" t="n">
        <v>46306</v>
      </c>
      <c r="E31" s="46" t="n">
        <v>46318</v>
      </c>
      <c r="F31" s="32" t="n"/>
      <c r="G31" s="46" t="n"/>
      <c r="H31" s="32" t="inlineStr">
        <is>
          <t>年間カレンダー</t>
        </is>
      </c>
    </row>
    <row r="32">
      <c r="A32" s="32" t="n">
        <v>29</v>
      </c>
      <c r="B32" s="32" t="inlineStr">
        <is>
          <t>12月末の時点で完了していないことを明確にするため、予算移管シート「業務」に「変更管理の完了予定（GxP対象の間接業務）」の列（W）を足した</t>
        </is>
      </c>
      <c r="C32" s="32" t="inlineStr">
        <is>
          <t>IT部門長</t>
        </is>
      </c>
      <c r="D32" s="46" t="n">
        <v>46306</v>
      </c>
      <c r="E32" s="46" t="n">
        <v>46318</v>
      </c>
      <c r="F32" s="32" t="n"/>
      <c r="G32" s="46" t="n"/>
      <c r="H32" s="32" t="inlineStr">
        <is>
          <t>予算移管シート「業務」、仕様 §3.2、準備完了チェック No.3（確認依頼 No.39 で見直し：W 列は使わず、S・T 列に経過措置の完了予定と手続きの内容を書く）</t>
        </is>
      </c>
    </row>
    <row r="33">
      <c r="A33" s="32" t="n">
        <v>30</v>
      </c>
      <c r="B33" s="32" t="inlineStr">
        <is>
          <t>棚卸しの結果の承認を廃止したことに合わせ、C-03（判定保留を確認し、棚卸しを終える）の期限を日付で置かず、「移管時期の合意の期限」に間に合うように、とした</t>
        </is>
      </c>
      <c r="C33" s="32" t="inlineStr">
        <is>
          <t>IT部門長</t>
        </is>
      </c>
      <c r="D33" s="46" t="n">
        <v>46306</v>
      </c>
      <c r="E33" s="46" t="n">
        <v>46318</v>
      </c>
      <c r="F33" s="32" t="n"/>
      <c r="G33" s="46" t="n"/>
      <c r="H33" s="32" t="inlineStr">
        <is>
          <t>Runbook 全体編 §2・案件担当編 §3.3、年間カレンダー</t>
        </is>
      </c>
    </row>
    <row r="34">
      <c r="A34" s="32" t="n">
        <v>31</v>
      </c>
      <c r="B34" s="32" t="inlineStr">
        <is>
          <t>12月末のゴールの3つの前提を、移管ステータス「合意済み」（稟議に必要な情報）と「準備完了」（未完了の明確化・1月から開始できる状態）に対応させた</t>
        </is>
      </c>
      <c r="C34" s="32" t="inlineStr">
        <is>
          <t>IT部門長</t>
        </is>
      </c>
      <c r="D34" s="46" t="n">
        <v>46306</v>
      </c>
      <c r="E34" s="46" t="n">
        <v>46318</v>
      </c>
      <c r="F34" s="32" t="n"/>
      <c r="G34" s="46" t="n"/>
      <c r="H34" s="32" t="inlineStr">
        <is>
          <t>Runbook 全体編 §1.3・案件担当編 §1.7</t>
        </is>
      </c>
    </row>
    <row r="35">
      <c r="A35" s="32" t="n">
        <v>32</v>
      </c>
      <c r="B35" s="32" t="inlineStr">
        <is>
          <t>1つの契約を複数の案件の予算から払う場合は、案件ごとに契約の行を分け、契約IDに枝番を付けるとした（契約の案件IDは1つのまま）</t>
        </is>
      </c>
      <c r="C35" s="32" t="inlineStr">
        <is>
          <t>IT部門長</t>
        </is>
      </c>
      <c r="D35" s="46" t="n">
        <v>46306</v>
      </c>
      <c r="E35" s="46" t="n">
        <v>46318</v>
      </c>
      <c r="F35" s="32" t="n"/>
      <c r="G35" s="46" t="n"/>
      <c r="H35" s="32" t="inlineStr">
        <is>
          <t>Runbook 案件担当編 §3.2、仕様 §2、予算移管シート「契約」</t>
        </is>
      </c>
    </row>
    <row r="36">
      <c r="A36" s="32" t="n">
        <v>33</v>
      </c>
      <c r="B36" s="32" t="inlineStr">
        <is>
          <t>新規の投資案件は業務を書かず、紐付け・システムは既存システムの改修のときだけ書くとした</t>
        </is>
      </c>
      <c r="C36" s="32" t="inlineStr">
        <is>
          <t>IT部門長</t>
        </is>
      </c>
      <c r="D36" s="46" t="n">
        <v>46306</v>
      </c>
      <c r="E36" s="46" t="n">
        <v>46318</v>
      </c>
      <c r="F36" s="32" t="n"/>
      <c r="G36" s="46" t="n"/>
      <c r="H36" s="32" t="inlineStr">
        <is>
          <t>Runbook 案件担当編 §3.2、仕様 §2、予算移管シート「業務」「紐付け」</t>
        </is>
      </c>
    </row>
    <row r="37">
      <c r="A37" s="32" t="n">
        <v>34</v>
      </c>
      <c r="B37" s="32" t="inlineStr">
        <is>
          <t>キックオフ前のヒアリングで伝える範囲を、移管対象部門ガイドの範囲とし、移管の希望・未定の事項・個別移管の見通しは伝えない・約束しないとした</t>
        </is>
      </c>
      <c r="C37" s="32" t="inlineStr">
        <is>
          <t>IT部門長</t>
        </is>
      </c>
      <c r="D37" s="46" t="n">
        <v>46306</v>
      </c>
      <c r="E37" s="46" t="n">
        <v>46318</v>
      </c>
      <c r="F37" s="32" t="n"/>
      <c r="G37" s="46" t="n"/>
      <c r="H37" s="32" t="inlineStr">
        <is>
          <t>Runbook 案件担当編 §3.1</t>
        </is>
      </c>
    </row>
    <row r="38">
      <c r="A38" s="32" t="n">
        <v>35</v>
      </c>
      <c r="B38" s="32" t="inlineStr">
        <is>
          <t>「移管ステータスが埋まった」を、部門の案件が全て合意済み・準備完了・保留・対象外のどれかになったこととした（準備完了を待たずに稟議を起票できる）</t>
        </is>
      </c>
      <c r="C38" s="32" t="inlineStr">
        <is>
          <t>IT部門長</t>
        </is>
      </c>
      <c r="D38" s="46" t="n">
        <v>46306</v>
      </c>
      <c r="E38" s="46" t="n">
        <v>46318</v>
      </c>
      <c r="F38" s="32" t="n"/>
      <c r="G38" s="46" t="n"/>
      <c r="H38" s="32" t="inlineStr">
        <is>
          <t>憲章 第10条第2項、Runbook 進行役編 §3.4（決定事項 No.51 で見直し：保留を廃止した。合意済み・準備完了・対象外のどれか）</t>
        </is>
      </c>
    </row>
    <row r="39">
      <c r="A39" s="32" t="n">
        <v>36</v>
      </c>
      <c r="B39" s="32" t="inlineStr">
        <is>
          <t>移管の完了の記録の廃止に合わせ、移管ステータスから移管済み・安定稼働を外した（6つにした）</t>
        </is>
      </c>
      <c r="C39" s="32" t="inlineStr">
        <is>
          <t>IT部門長</t>
        </is>
      </c>
      <c r="D39" s="46" t="n">
        <v>46306</v>
      </c>
      <c r="E39" s="46" t="n">
        <v>46318</v>
      </c>
      <c r="F39" s="32" t="n"/>
      <c r="G39" s="46" t="n"/>
      <c r="H39" s="32" t="inlineStr">
        <is>
          <t>憲章 第10条、予算移管シート、用語集（決定事項 No.51 で見直し：保留も外し、5つになった）</t>
        </is>
      </c>
    </row>
    <row r="40">
      <c r="A40" s="32" t="n">
        <v>37</v>
      </c>
      <c r="B40" s="32" t="inlineStr">
        <is>
          <t>進捗のまとめ（P-07）を、IT部門長に求められたときと移管の稟議が承認されたときに行うとし、Tier の運営主体には稟議が承認された案件の一覧を渡すとした</t>
        </is>
      </c>
      <c r="C40" s="32" t="inlineStr">
        <is>
          <t>IT部門長</t>
        </is>
      </c>
      <c r="D40" s="46" t="n">
        <v>46306</v>
      </c>
      <c r="E40" s="46" t="n">
        <v>46318</v>
      </c>
      <c r="F40" s="32" t="n"/>
      <c r="G40" s="46" t="n"/>
      <c r="H40" s="32" t="inlineStr">
        <is>
          <t>Runbook 全体編・進行役編 §3.7</t>
        </is>
      </c>
    </row>
    <row r="41">
      <c r="A41" s="32" t="n">
        <v>38</v>
      </c>
      <c r="B41" s="32" t="inlineStr">
        <is>
          <t>標準 RACI（BTR-APX-01）の After を、キックオフ資料に合わせて BO・BU・SO の3役で表し、ベンダーマネジメント担当・事務担当は SO を支援する役割として RACI には書かないこととした</t>
        </is>
      </c>
      <c r="C41" s="32" t="inlineStr">
        <is>
          <t>IT部門長</t>
        </is>
      </c>
      <c r="D41" s="46" t="n">
        <v>46307</v>
      </c>
      <c r="E41" s="46" t="n">
        <v>46318</v>
      </c>
      <c r="F41" s="32" t="n"/>
      <c r="G41" s="46" t="n"/>
      <c r="H41" s="32" t="inlineStr">
        <is>
          <t>BTR-APX-01 §4・§5</t>
        </is>
      </c>
    </row>
    <row r="42">
      <c r="A42" s="32" t="n">
        <v>39</v>
      </c>
      <c r="B42" s="32" t="inlineStr">
        <is>
          <t>予算移管シートの予算一覧 AO を「経過措置（自動）」に、業務シートの S・T 列を経過措置の完了予定と手続きの内容に改め、契約シートの P・Q 列、業務シートの W 列、予算一覧の AX・BA 列は使わないこととした（列は削除せず空けた）</t>
        </is>
      </c>
      <c r="C42" s="32" t="inlineStr">
        <is>
          <t>IT部門長</t>
        </is>
      </c>
      <c r="D42" s="46" t="n">
        <v>46307</v>
      </c>
      <c r="E42" s="46" t="n">
        <v>46318</v>
      </c>
      <c r="F42" s="32" t="n"/>
      <c r="G42" s="46" t="n"/>
      <c r="H42" s="32" t="inlineStr">
        <is>
          <t>予算移管シート、仕様 §3</t>
        </is>
      </c>
    </row>
    <row r="43">
      <c r="A43" s="32" t="n">
        <v>40</v>
      </c>
      <c r="B43" s="32" t="inlineStr">
        <is>
          <t>カレンダーの「移管時期の合意の期限」を「合意の期限」に改めた</t>
        </is>
      </c>
      <c r="C43" s="32" t="inlineStr">
        <is>
          <t>IT部門長</t>
        </is>
      </c>
      <c r="D43" s="46" t="n">
        <v>46307</v>
      </c>
      <c r="E43" s="46" t="n">
        <v>46318</v>
      </c>
      <c r="F43" s="32" t="n"/>
      <c r="G43" s="46" t="n"/>
      <c r="H43" s="32" t="inlineStr">
        <is>
          <t>年間カレンダー、Runbook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7" min="1" max="1"/>
    <col width="16" customWidth="1" style="17" min="2" max="2"/>
    <col width="10" customWidth="1" style="17" min="3" max="3"/>
  </cols>
  <sheetData>
    <row r="1" ht="17.35" customHeight="1" s="18">
      <c r="A1" s="42" t="inlineStr">
        <is>
          <t>集計（自動）</t>
        </is>
      </c>
      <c r="B1" s="35" t="n"/>
      <c r="C1" s="35" t="n"/>
    </row>
    <row r="2">
      <c r="A2" s="35" t="n"/>
      <c r="B2" s="35" t="n"/>
      <c r="C2" s="35" t="n"/>
    </row>
    <row r="3" ht="15" customHeight="1" s="18">
      <c r="A3" s="43" t="inlineStr">
        <is>
          <t>区分</t>
        </is>
      </c>
      <c r="B3" s="43" t="inlineStr">
        <is>
          <t>状態</t>
        </is>
      </c>
      <c r="C3" s="43" t="inlineStr">
        <is>
          <t>件数</t>
        </is>
      </c>
    </row>
    <row r="4" ht="15" customHeight="1" s="18">
      <c r="A4" s="48" t="inlineStr">
        <is>
          <t>保留課題</t>
        </is>
      </c>
      <c r="B4" s="48" t="inlineStr">
        <is>
          <t>未着手</t>
        </is>
      </c>
      <c r="C4" s="48">
        <f>COUNTIFS(保留課題!G4:G300,"未着手",保留課題!A4:A300,"&lt;&gt;記入例")</f>
        <v/>
      </c>
    </row>
    <row r="5" ht="15" customHeight="1" s="18">
      <c r="A5" s="48" t="inlineStr">
        <is>
          <t>保留課題</t>
        </is>
      </c>
      <c r="B5" s="48" t="inlineStr">
        <is>
          <t>調整中</t>
        </is>
      </c>
      <c r="C5" s="48">
        <f>COUNTIFS(保留課題!G4:G300,"調整中",保留課題!A4:A300,"&lt;&gt;記入例")</f>
        <v/>
      </c>
    </row>
    <row r="6" ht="15" customHeight="1" s="18">
      <c r="A6" s="48" t="inlineStr">
        <is>
          <t>保留課題</t>
        </is>
      </c>
      <c r="B6" s="48" t="inlineStr">
        <is>
          <t>確定</t>
        </is>
      </c>
      <c r="C6" s="48">
        <f>COUNTIFS(保留課題!G4:G300,"確定",保留課題!A4:A300,"&lt;&gt;記入例")</f>
        <v/>
      </c>
    </row>
    <row r="7" ht="15" customHeight="1" s="18">
      <c r="A7" s="48" t="inlineStr">
        <is>
          <t>保留課題</t>
        </is>
      </c>
      <c r="B7" s="48" t="inlineStr">
        <is>
          <t>取り下げ</t>
        </is>
      </c>
      <c r="C7" s="48">
        <f>COUNTIFS(保留課題!G4:G300,"取り下げ",保留課題!A4:A300,"&lt;&gt;記入例")</f>
        <v/>
      </c>
    </row>
    <row r="8" ht="15" customHeight="1" s="18">
      <c r="A8" s="48" t="inlineStr">
        <is>
          <t>保留課題</t>
        </is>
      </c>
      <c r="B8" s="48" t="inlineStr">
        <is>
          <t>期限超過</t>
        </is>
      </c>
      <c r="C8" s="48">
        <f>SUMPRODUCT((保留課題!A4:A300&lt;&gt;"記入例")*ISNUMBER(保留課題!E4:E300)*(保留課題!E4:E300&lt;TODAY())*(保留課題!G4:G300&lt;&gt;"確定")*(保留課題!G4:G300&lt;&gt;"取り下げ"))</f>
        <v/>
      </c>
    </row>
    <row r="9" ht="15" customHeight="1" s="18">
      <c r="A9" s="48" t="inlineStr">
        <is>
          <t>決定事項</t>
        </is>
      </c>
      <c r="B9" s="48" t="inlineStr">
        <is>
          <t>登録件数</t>
        </is>
      </c>
      <c r="C9" s="48">
        <f>COUNTIFS(決定事項!E4:E300,"&lt;&gt;",決定事項!A4:A300,"&lt;&gt;記入例")</f>
        <v/>
      </c>
    </row>
    <row r="10" ht="15" customHeight="1" s="18">
      <c r="A10" s="48" t="inlineStr">
        <is>
          <t>確認依頼</t>
        </is>
      </c>
      <c r="B10" s="48" t="inlineStr">
        <is>
          <t>未回答</t>
        </is>
      </c>
      <c r="C10" s="48">
        <f>COUNTIFS(確認依頼!B4:B300,"&lt;&gt;",確認依頼!F4:F300,"",確認依頼!A4:A300,"&lt;&gt;記入例")</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7" min="1" max="1"/>
    <col width="14" customWidth="1" style="17" min="2" max="2"/>
    <col width="60" customWidth="1" style="17" min="3" max="3"/>
    <col width="16" customWidth="1" style="17" min="4" max="5"/>
  </cols>
  <sheetData>
    <row r="1" ht="17.35" customHeight="1" s="18">
      <c r="A1" s="42" t="inlineStr">
        <is>
          <t>改訂履歴</t>
        </is>
      </c>
      <c r="B1" s="35" t="n"/>
      <c r="C1" s="35" t="n"/>
      <c r="D1" s="35" t="n"/>
      <c r="E1" s="35" t="n"/>
    </row>
    <row r="2">
      <c r="A2" s="35" t="n"/>
      <c r="B2" s="35" t="n"/>
      <c r="C2" s="35" t="n"/>
      <c r="D2" s="35" t="n"/>
      <c r="E2" s="35" t="n"/>
    </row>
    <row r="3" ht="15" customHeight="1" s="18">
      <c r="A3" s="43" t="inlineStr">
        <is>
          <t>版</t>
        </is>
      </c>
      <c r="B3" s="43" t="inlineStr">
        <is>
          <t>日付</t>
        </is>
      </c>
      <c r="C3" s="43" t="inlineStr">
        <is>
          <t>改訂内容</t>
        </is>
      </c>
      <c r="D3" s="43" t="inlineStr">
        <is>
          <t>改訂者</t>
        </is>
      </c>
      <c r="E3" s="43" t="inlineStr">
        <is>
          <t>承認者</t>
        </is>
      </c>
    </row>
    <row r="4" ht="15" customHeight="1" s="18">
      <c r="A4" s="32" t="inlineStr">
        <is>
          <t>1.0</t>
        </is>
      </c>
      <c r="B4" s="46" t="n">
        <v>46306</v>
      </c>
      <c r="C4" s="49" t="inlineStr">
        <is>
          <t>制定（承認前の案）</t>
        </is>
      </c>
      <c r="D4" s="32" t="inlineStr">
        <is>
          <t>予算移管事務局</t>
        </is>
      </c>
      <c r="E4" s="32" t="n"/>
    </row>
    <row r="5" ht="15" customHeight="1" s="18">
      <c r="A5" s="32" t="inlineStr">
        <is>
          <t>1.1</t>
        </is>
      </c>
      <c r="B5" s="46" t="n">
        <v>46306</v>
      </c>
      <c r="C5" s="49" t="inlineStr">
        <is>
          <t>決定事項 No.33〜37、保留課題 No.24、確認依頼 No.26〜28 を追加し、保留課題 No.14〜17 を更新した</t>
        </is>
      </c>
      <c r="D5" s="32" t="inlineStr">
        <is>
          <t>予算移管事務局</t>
        </is>
      </c>
      <c r="E5" s="32" t="n"/>
    </row>
    <row r="6" ht="15" customHeight="1" s="18">
      <c r="A6" s="32" t="inlineStr">
        <is>
          <t>1.2</t>
        </is>
      </c>
      <c r="B6" s="46" t="n">
        <v>46306</v>
      </c>
      <c r="C6" s="49" t="inlineStr">
        <is>
          <t>決定事項 No.41〜45、確認依頼 No.29〜31 を追加し、保留課題 No.20 を確定、No.24 を取り下げた</t>
        </is>
      </c>
      <c r="D6" s="32" t="inlineStr">
        <is>
          <t>予算移管事務局</t>
        </is>
      </c>
      <c r="E6" s="32" t="n"/>
    </row>
    <row r="7" ht="15" customHeight="1" s="18">
      <c r="A7" s="32" t="inlineStr">
        <is>
          <t>1.3</t>
        </is>
      </c>
      <c r="B7" s="46" t="n">
        <v>46306</v>
      </c>
      <c r="C7" s="49" t="inlineStr">
        <is>
          <t>確認依頼 No.32〜34 を追加した</t>
        </is>
      </c>
      <c r="D7" s="32" t="inlineStr">
        <is>
          <t>予算移管事務局</t>
        </is>
      </c>
      <c r="E7" s="32" t="n"/>
    </row>
    <row r="8" ht="15" customHeight="1" s="18">
      <c r="A8" s="32" t="inlineStr">
        <is>
          <t>1.4</t>
        </is>
      </c>
      <c r="B8" s="46" t="n">
        <v>46306</v>
      </c>
      <c r="C8" s="49" t="inlineStr">
        <is>
          <t>決定事項 No.46〜50、確認依頼 No.35〜37 を追加し、保留課題 No.1・2・18 を確定、No.6・9・11 を取り下げた</t>
        </is>
      </c>
      <c r="D8" s="32" t="inlineStr">
        <is>
          <t>予算移管事務局</t>
        </is>
      </c>
      <c r="E8" s="32" t="n"/>
    </row>
    <row r="9" ht="15" customHeight="1" s="18">
      <c r="A9" s="32" t="inlineStr">
        <is>
          <t>1.5</t>
        </is>
      </c>
      <c r="B9" s="46" t="n">
        <v>46307</v>
      </c>
      <c r="C9" s="49" t="inlineStr">
        <is>
          <t>決定事項 No.51〜54、確認依頼 No.38〜40 を追加した</t>
        </is>
      </c>
      <c r="D9" s="32" t="inlineStr">
        <is>
          <t>予算移管事務局</t>
        </is>
      </c>
      <c r="E9" s="32" t="n"/>
    </row>
    <row r="10">
      <c r="A10" s="32" t="inlineStr">
        <is>
          <t>1.6</t>
        </is>
      </c>
      <c r="B10" s="46" t="n">
        <v>46307</v>
      </c>
      <c r="C10" s="49" t="inlineStr">
        <is>
          <t>確認依頼 No.5・6・8・12・20・27・29・35・36 の反映先に、後の決定で見直したことを注記した。保留課題 No.5 の決定事項の番号を No.51 に直した</t>
        </is>
      </c>
      <c r="D10" s="32" t="inlineStr">
        <is>
          <t>予算移管事務局</t>
        </is>
      </c>
      <c r="E10" s="3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2026-09-29T22:34:21Z</dcterms:created>
  <dcterms:modified xmlns:dcterms="http://purl.org/dc/terms/" xmlns:xsi="http://www.w3.org/2001/XMLSchema-instance" xsi:type="dcterms:W3CDTF">2026-10-12T05:13:25Z</dcterms:modified>
  <cp:revision>0</cp:revision>
</cp:coreProperties>
</file>